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os v2 (Lean)" sheetId="1" state="visible" r:id="rId3"/>
    <sheet name="Trade-offs" sheetId="2" state="visible" r:id="rId4"/>
    <sheet name="ROI Calculator" sheetId="3" state="visible" r:id="rId5"/>
    <sheet name="Acciones" sheetId="4" state="visible" r:id="rId6"/>
    <sheet name="Dashboard Mocku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<sst xmlns="http://schemas.openxmlformats.org/spreadsheetml/2006/main" count="296" uniqueCount="240">
  <si>
    <t xml:space="preserve">101 Advisors — Costos v2 (Budget &lt;$50/mes)</t>
  </si>
  <si>
    <t xml:space="preserve">Versión Lean: scraping en lugar de APIs pagas + caps de uso</t>
  </si>
  <si>
    <t xml:space="preserve">COSTOS RECURRENTES MENSUALES</t>
  </si>
  <si>
    <t xml:space="preserve">Concepto</t>
  </si>
  <si>
    <t xml:space="preserve">Min ($)</t>
  </si>
  <si>
    <t xml:space="preserve">Max ($)</t>
  </si>
  <si>
    <t xml:space="preserve">Tipo</t>
  </si>
  <si>
    <t xml:space="preserve">Notas</t>
  </si>
  <si>
    <t xml:space="preserve">Cambio vs v1</t>
  </si>
  <si>
    <t xml:space="preserve">Miami-Dade Commercial Data API (cap)</t>
  </si>
  <si>
    <t xml:space="preserve">Variable</t>
  </si>
  <si>
    <t xml:space="preserve">$0.20/req · cap mensual</t>
  </si>
  <si>
    <t xml:space="preserve">↓ de $110 (bulk folder)</t>
  </si>
  <si>
    <t xml:space="preserve">Broward Clerk (scraping portal público)</t>
  </si>
  <si>
    <t xml:space="preserve">Gratis</t>
  </si>
  <si>
    <t xml:space="preserve">Trade-off: más frágil</t>
  </si>
  <si>
    <t xml:space="preserve">↓ de $30–60 (API premium)</t>
  </si>
  <si>
    <t xml:space="preserve">Palm Beach Clerk (eCaseView scraping)</t>
  </si>
  <si>
    <t xml:space="preserve">Igual que v1</t>
  </si>
  <si>
    <t xml:space="preserve">Sin cambio</t>
  </si>
  <si>
    <t xml:space="preserve">Tax Collectors (3 condados)</t>
  </si>
  <si>
    <t xml:space="preserve">Listas oficiales públicas</t>
  </si>
  <si>
    <t xml:space="preserve">Property Appraisers (3 condados)</t>
  </si>
  <si>
    <t xml:space="preserve">Endpoints públicos</t>
  </si>
  <si>
    <t xml:space="preserve">BatchSkipTracing (cap 100/mes)</t>
  </si>
  <si>
    <t xml:space="preserve">Pay-per</t>
  </si>
  <si>
    <t xml:space="preserve">$0.18 promedio · top priority</t>
  </si>
  <si>
    <t xml:space="preserve">↓ de $30–100</t>
  </si>
  <si>
    <t xml:space="preserve">MLS RESO Web API (Bridge/MLS Grid)</t>
  </si>
  <si>
    <t xml:space="preserve">Si MLS premium del cliente lo incluye: gratis</t>
  </si>
  <si>
    <t xml:space="preserve">Nuevo en v2</t>
  </si>
  <si>
    <t xml:space="preserve">Streamlit Community Cloud</t>
  </si>
  <si>
    <t xml:space="preserve">Free tier — dashboard hosting</t>
  </si>
  <si>
    <t xml:space="preserve">GitHub Actions (cron)</t>
  </si>
  <si>
    <t xml:space="preserve">Free tier</t>
  </si>
  <si>
    <t xml:space="preserve">Google Sheets API</t>
  </si>
  <si>
    <t xml:space="preserve">Bajo límite gratuito</t>
  </si>
  <si>
    <t xml:space="preserve">SendGrid email digest</t>
  </si>
  <si>
    <t xml:space="preserve">100 emails/día gratis</t>
  </si>
  <si>
    <t xml:space="preserve">SUBTOTAL sin MLS adicional</t>
  </si>
  <si>
    <t xml:space="preserve">Si el MLS del cliente incluye API gratis</t>
  </si>
  <si>
    <t xml:space="preserve">TOTAL si MLS cobra extra (~$60)</t>
  </si>
  <si>
    <t xml:space="preserve">Caso peor: MLS cobra $60/mes adicional</t>
  </si>
  <si>
    <t xml:space="preserve">Estimado anual (sin MLS extra):</t>
  </si>
  <si>
    <t xml:space="preserve">Estimado anual (con MLS extra):</t>
  </si>
  <si>
    <t xml:space="preserve">COMPARACIÓN vs. PROPUESTA v1</t>
  </si>
  <si>
    <t xml:space="preserve">Versión</t>
  </si>
  <si>
    <t xml:space="preserve">Min/mes</t>
  </si>
  <si>
    <t xml:space="preserve">Max/mes</t>
  </si>
  <si>
    <t xml:space="preserve">Ahorro vs v1</t>
  </si>
  <si>
    <t xml:space="preserve">Ahorro %</t>
  </si>
  <si>
    <t xml:space="preserve">v1 (sin restricción budget)</t>
  </si>
  <si>
    <t xml:space="preserve">—</t>
  </si>
  <si>
    <t xml:space="preserve">APIs pagas + dashboard custom</t>
  </si>
  <si>
    <t xml:space="preserve">v2 LEAN (sin MLS extra)</t>
  </si>
  <si>
    <t xml:space="preserve">Scraping + caps + Streamlit free</t>
  </si>
  <si>
    <t xml:space="preserve">Trade-offs del Modelo Lean</t>
  </si>
  <si>
    <t xml:space="preserve">Lo que ganamos en costo, lo que cedemos en otra cosa</t>
  </si>
  <si>
    <t xml:space="preserve">ANÁLISIS DE COMPROMISOS</t>
  </si>
  <si>
    <t xml:space="preserve">Decisión</t>
  </si>
  <si>
    <t xml:space="preserve">Beneficio</t>
  </si>
  <si>
    <t xml:space="preserve">Riesgo</t>
  </si>
  <si>
    <t xml:space="preserve">Mitigación</t>
  </si>
  <si>
    <t xml:space="preserve">Scraping Broward (gratis) en lugar de API premium ($30–60)</t>
  </si>
  <si>
    <t xml:space="preserve">Ahorra $360–720/año</t>
  </si>
  <si>
    <t xml:space="preserve">HTML changes rompen el collector</t>
  </si>
  <si>
    <t xml:space="preserve">Tests diarios + alertas + selectores en config separada. ~1–2 incidentes/año.</t>
  </si>
  <si>
    <t xml:space="preserve">Cap Miami-Dade a $25/mes en API on-demand</t>
  </si>
  <si>
    <t xml:space="preserve">Ahorra $85/mes vs. bulk folder</t>
  </si>
  <si>
    <t xml:space="preserve">Si el volumen sube mucho, hay que aumentar cap</t>
  </si>
  <si>
    <t xml:space="preserve">Monitor mensual; aumentar cap es 1 cambio de config.</t>
  </si>
  <si>
    <t xml:space="preserve">Cap BatchSkipTracing a $20/mes (~100 lookups)</t>
  </si>
  <si>
    <t xml:space="preserve">Predictable spend</t>
  </si>
  <si>
    <t xml:space="preserve">Si hay 200+ leads viables, algunos esperan</t>
  </si>
  <si>
    <t xml:space="preserve">Priorizar foreclosure → probate → tax. Procesar resto el mes siguiente.</t>
  </si>
  <si>
    <t xml:space="preserve">Refresh cada 2 días en lugar de diario</t>
  </si>
  <si>
    <t xml:space="preserve">Reduce queries y costo a la mitad</t>
  </si>
  <si>
    <t xml:space="preserve">1 día más tarde que la competencia</t>
  </si>
  <si>
    <t xml:space="preserve">Sigue siendo más rápido que búsqueda manual del cliente.</t>
  </si>
  <si>
    <t xml:space="preserve">Streamlit Community Cloud (gratis) en lugar de hosting pago</t>
  </si>
  <si>
    <t xml:space="preserve">$0 hosting de dashboard</t>
  </si>
  <si>
    <t xml:space="preserve">Limites de CPU/RAM, sleep tras inactividad</t>
  </si>
  <si>
    <t xml:space="preserve">Suficiente para 5–10 usuarios concurrentes y queries simples.</t>
  </si>
  <si>
    <t xml:space="preserve">Auth con password compartido (no individual)</t>
  </si>
  <si>
    <t xml:space="preserve">Setup de 5 minutos vs. 2 días de OAuth</t>
  </si>
  <si>
    <t xml:space="preserve">No hay tracking individual de qué agente vio qué</t>
  </si>
  <si>
    <t xml:space="preserve">Si después necesitan, se migra a Google Workspace SSO sin reescribir.</t>
  </si>
  <si>
    <t xml:space="preserve">Análisis de ROI — v2 Lean</t>
  </si>
  <si>
    <t xml:space="preserve">Edita las celdas en azul para correr escenarios</t>
  </si>
  <si>
    <t xml:space="preserve">INPUTS (editables — celdas azules)</t>
  </si>
  <si>
    <t xml:space="preserve">Minutos ahorrados por día</t>
  </si>
  <si>
    <t xml:space="preserve">min/día</t>
  </si>
  <si>
    <t xml:space="preserve">Días hábiles por mes</t>
  </si>
  <si>
    <t xml:space="preserve">días</t>
  </si>
  <si>
    <t xml:space="preserve">Costo-oportunidad por hora</t>
  </si>
  <si>
    <t xml:space="preserve">$/hr</t>
  </si>
  <si>
    <t xml:space="preserve">Costo mensual de la plataforma (v2)</t>
  </si>
  <si>
    <t xml:space="preserve">$/mes</t>
  </si>
  <si>
    <t xml:space="preserve">Deals extra al año (gracias a llegar antes)</t>
  </si>
  <si>
    <t xml:space="preserve">deals/año</t>
  </si>
  <si>
    <t xml:space="preserve">Comisión promedio por deal</t>
  </si>
  <si>
    <t xml:space="preserve">$/deal</t>
  </si>
  <si>
    <t xml:space="preserve">RESULTADOS (calculados)</t>
  </si>
  <si>
    <t xml:space="preserve">Horas ahorradas / mes</t>
  </si>
  <si>
    <t xml:space="preserve">horas</t>
  </si>
  <si>
    <t xml:space="preserve">Valor del tiempo ahorrado / mes</t>
  </si>
  <si>
    <t xml:space="preserve">$</t>
  </si>
  <si>
    <t xml:space="preserve">Valor del tiempo / año</t>
  </si>
  <si>
    <t xml:space="preserve">Costo de plataforma / año (v2)</t>
  </si>
  <si>
    <t xml:space="preserve">Ahorro neto en tiempo / año</t>
  </si>
  <si>
    <t xml:space="preserve">Valor de deals extra / año</t>
  </si>
  <si>
    <t xml:space="preserve">Beneficio total estimado / año</t>
  </si>
  <si>
    <t xml:space="preserve">ROI (%) sobre costo de plataforma</t>
  </si>
  <si>
    <t xml:space="preserve">%</t>
  </si>
  <si>
    <t xml:space="preserve">Payback time (meses)</t>
  </si>
  <si>
    <t xml:space="preserve">meses</t>
  </si>
  <si>
    <t xml:space="preserve">Con v2 lean ($45/mes), payback típico &lt; 1 mes solo con tiempo ahorrado. Si se cierra UN deal extra al año, ROI &gt; 1500%.</t>
  </si>
  <si>
    <t xml:space="preserve">Acciones Pendientes — Camino Crítico</t>
  </si>
  <si>
    <t xml:space="preserve">Lo que Samuel debe hacer y lo que el cliente debe responder</t>
  </si>
  <si>
    <t xml:space="preserve">PARA SAMUEL — Preguntas al cliente</t>
  </si>
  <si>
    <t xml:space="preserve">#</t>
  </si>
  <si>
    <t xml:space="preserve">Pregunta al cliente</t>
  </si>
  <si>
    <t xml:space="preserve">Por qué es importante</t>
  </si>
  <si>
    <t xml:space="preserve">Bloqueante?</t>
  </si>
  <si>
    <t xml:space="preserve">Plazo</t>
  </si>
  <si>
    <t xml:space="preserve">Status</t>
  </si>
  <si>
    <t xml:space="preserve">1</t>
  </si>
  <si>
    <t xml:space="preserve">¿Cuál MLS premium usan? (Miami Realtors / BeachesMLS / Stellar / otro)</t>
  </si>
  <si>
    <t xml:space="preserve">Determina qué feed integramos</t>
  </si>
  <si>
    <t xml:space="preserve">Solo Fase 4</t>
  </si>
  <si>
    <t xml:space="preserve">Esta semana</t>
  </si>
  <si>
    <t xml:space="preserve">Pendiente</t>
  </si>
  <si>
    <t xml:space="preserve">2</t>
  </si>
  <si>
    <t xml:space="preserve">¿El titular de la membresía MLS es Broker o Agent?</t>
  </si>
  <si>
    <t xml:space="preserve">Define quién firma display agreement</t>
  </si>
  <si>
    <t xml:space="preserve">3</t>
  </si>
  <si>
    <t xml:space="preserve">¿Tienen cuenta Bridge Interactive o MLS Grid? Si sí, share access</t>
  </si>
  <si>
    <t xml:space="preserve">Acelera la integración MLS 1-3 semanas</t>
  </si>
  <si>
    <t xml:space="preserve">4</t>
  </si>
  <si>
    <t xml:space="preserve">¿Cuánto pagan por MLS premium hoy? ¿Incluye API access?</t>
  </si>
  <si>
    <t xml:space="preserve">Saber si MLS feed cuesta $0 o $60 extra</t>
  </si>
  <si>
    <t xml:space="preserve">No</t>
  </si>
  <si>
    <t xml:space="preserve">5</t>
  </si>
  <si>
    <t xml:space="preserve">Email del cliente para email digest diario</t>
  </si>
  <si>
    <t xml:space="preserve">Setup de SendGrid/Gmail</t>
  </si>
  <si>
    <t xml:space="preserve">Sí Fase 5</t>
  </si>
  <si>
    <t xml:space="preserve">Semana 4</t>
  </si>
  <si>
    <t xml:space="preserve">6</t>
  </si>
  <si>
    <t xml:space="preserve">Refresh diario o cada 2 días?</t>
  </si>
  <si>
    <t xml:space="preserve">Define costo Miami-Dade API</t>
  </si>
  <si>
    <t xml:space="preserve">No (default cada 2 días)</t>
  </si>
  <si>
    <t xml:space="preserve">Semana 1</t>
  </si>
  <si>
    <t xml:space="preserve">7</t>
  </si>
  <si>
    <t xml:space="preserve">Logo + colores de 101 Advisors</t>
  </si>
  <si>
    <t xml:space="preserve">Branding del dashboard</t>
  </si>
  <si>
    <t xml:space="preserve">Solo Fase 2</t>
  </si>
  <si>
    <t xml:space="preserve">Semana 2</t>
  </si>
  <si>
    <t xml:space="preserve">8</t>
  </si>
  <si>
    <t xml:space="preserve">Password compartido inicial del dashboard</t>
  </si>
  <si>
    <t xml:space="preserve">Necesario para deploy</t>
  </si>
  <si>
    <t xml:space="preserve">Sí Fase 2</t>
  </si>
  <si>
    <t xml:space="preserve">PARA 101 ADVISORS — Acciones administrativas</t>
  </si>
  <si>
    <t xml:space="preserve">Acción</t>
  </si>
  <si>
    <t xml:space="preserve">Detalles</t>
  </si>
  <si>
    <t xml:space="preserve">Costo</t>
  </si>
  <si>
    <t xml:space="preserve">Tiempo</t>
  </si>
  <si>
    <t xml:space="preserve">Registro Miami-Dade Commercial Data Services</t>
  </si>
  <si>
    <t xml:space="preserve">Online en miamidadeclerk.gov</t>
  </si>
  <si>
    <t xml:space="preserve">3–5 días hábiles</t>
  </si>
  <si>
    <t xml:space="preserve">Cuenta BatchSkipTracing</t>
  </si>
  <si>
    <t xml:space="preserve">Crear y compartir API key</t>
  </si>
  <si>
    <t xml:space="preserve">Gratis crear</t>
  </si>
  <si>
    <t xml:space="preserve">10 minutos</t>
  </si>
  <si>
    <t xml:space="preserve">Solicitud display agreement con MLS</t>
  </si>
  <si>
    <t xml:space="preserve">El broker firma con MIAMI/Beaches/Stellar</t>
  </si>
  <si>
    <t xml:space="preserve">1–3 semanas</t>
  </si>
  <si>
    <t xml:space="preserve">Cuenta Streamlit Community Cloud</t>
  </si>
  <si>
    <t xml:space="preserve">Gratis con GitHub login</t>
  </si>
  <si>
    <t xml:space="preserve">Cuenta GitHub privada para el código</t>
  </si>
  <si>
    <t xml:space="preserve">Personal o organización 101 Advisors</t>
  </si>
  <si>
    <t xml:space="preserve">(Opcional) Notarizar Broward API agreement</t>
  </si>
  <si>
    <t xml:space="preserve">Solo si scraping resulta inestable</t>
  </si>
  <si>
    <t xml:space="preserve">~$25</t>
  </si>
  <si>
    <t xml:space="preserve">1–2 semanas</t>
  </si>
  <si>
    <t xml:space="preserve">No urgente</t>
  </si>
  <si>
    <t xml:space="preserve">Dashboard — Estructura Visual</t>
  </si>
  <si>
    <t xml:space="preserve">Streamlit · minimalista · una página · tabla central + filtros laterales</t>
  </si>
  <si>
    <t xml:space="preserve">┌─────────────────────────────────────────────────────────────────────────────────┐</t>
  </si>
  <si>
    <t xml:space="preserve">  101 ADVISORS · Distressed Property Lead Generator</t>
  </si>
  <si>
    <t xml:space="preserve">🔄 Refresh · 📥 Export</t>
  </si>
  <si>
    <t xml:space="preserve">Last updated: 6:02 AM</t>
  </si>
  <si>
    <t xml:space="preserve">📍 New today</t>
  </si>
  <si>
    <t xml:space="preserve">⏳ Pending followup</t>
  </si>
  <si>
    <t xml:space="preserve">✅ Contacted this week</t>
  </si>
  <si>
    <t xml:space="preserve">📞 Calls scheduled</t>
  </si>
  <si>
    <t xml:space="preserve">💰 Avg equity</t>
  </si>
  <si>
    <t xml:space="preserve">12</t>
  </si>
  <si>
    <t xml:space="preserve">47</t>
  </si>
  <si>
    <t xml:space="preserve">23</t>
  </si>
  <si>
    <t xml:space="preserve">$143K</t>
  </si>
  <si>
    <t xml:space="preserve">◆ Filtros (sidebar)</t>
  </si>
  <si>
    <t xml:space="preserve">◆ Tabla principal · NEW LEADS — TODAY</t>
  </si>
  <si>
    <t xml:space="preserve">Address</t>
  </si>
  <si>
    <t xml:space="preserve">Categoría</t>
  </si>
  <si>
    <t xml:space="preserve">Owner / Phone</t>
  </si>
  <si>
    <t xml:space="preserve">Categoría:</t>
  </si>
  <si>
    <t xml:space="preserve">☑ Foreclosure ☑ Probate ☐ Lis Pendens ☐ Tax ☐ Liens</t>
  </si>
  <si>
    <t xml:space="preserve">123 NW 5th St, Miami FL 33136</t>
  </si>
  <si>
    <t xml:space="preserve">🔴 Foreclosure</t>
  </si>
  <si>
    <t xml:space="preserve">M. González · (305) 555-0142</t>
  </si>
  <si>
    <t xml:space="preserve">Property type:</t>
  </si>
  <si>
    <t xml:space="preserve">☑ Single ☑ Multi ☑ Duplex ☑ Triplex ☑ Fourplex</t>
  </si>
  <si>
    <t xml:space="preserve">4521 SW 92nd Ave, Miami FL 33165</t>
  </si>
  <si>
    <t xml:space="preserve">🟠 Probate</t>
  </si>
  <si>
    <t xml:space="preserve">R. Hernández · (786) 555-0188</t>
  </si>
  <si>
    <t xml:space="preserve">Status:</t>
  </si>
  <si>
    <t xml:space="preserve">🟢 New 🟡 In progress ⚪ Contactado</t>
  </si>
  <si>
    <t xml:space="preserve">789 N State Rd 7, Plantation FL 33317</t>
  </si>
  <si>
    <t xml:space="preserve">S. Patel · (954) 555-0277</t>
  </si>
  <si>
    <t xml:space="preserve">Equity:</t>
  </si>
  <si>
    <t xml:space="preserve">Min: $50K  ─────────── Max: $1M</t>
  </si>
  <si>
    <t xml:space="preserve">2104 Lake Worth Rd, Lake Worth FL 33460</t>
  </si>
  <si>
    <t xml:space="preserve">🟡 Lis Pendens</t>
  </si>
  <si>
    <t xml:space="preserve">J. Williams · (561) 555-0319</t>
  </si>
  <si>
    <t xml:space="preserve">Días en pipeline:</t>
  </si>
  <si>
    <t xml:space="preserve">Hoy · 7d · 30d · Todo</t>
  </si>
  <si>
    <t xml:space="preserve">8800 SW 24th St, Miami FL 33165</t>
  </si>
  <si>
    <t xml:space="preserve">🟢 Tax Delinquent</t>
  </si>
  <si>
    <t xml:space="preserve">L. Méndez · (305) 555-0445</t>
  </si>
  <si>
    <t xml:space="preserve">3300 NE 15th Ave, Wilton Manors FL 33334</t>
  </si>
  <si>
    <t xml:space="preserve">K. Brown · (954) 555-0508</t>
  </si>
  <si>
    <t xml:space="preserve">NOTAS DEL DISEÑO</t>
  </si>
  <si>
    <t xml:space="preserve">• Una sola página — sin menús complejos. El equipo entra y ve los nuevos del día.</t>
  </si>
  <si>
    <t xml:space="preserve">• Filtros laterales preservan estado entre sesiones (recuerda lo que cada usuario dejó).</t>
  </si>
  <si>
    <t xml:space="preserve">• Click en un row abre detalle: dueño completo, lender info, taxes, fotos MLS si está listada.</t>
  </si>
  <si>
    <t xml:space="preserve">• Botón "Marcar contactado" mueve el lead a la vista History sin perderse.</t>
  </si>
  <si>
    <t xml:space="preserve">• Botón "Asignar a [agente]" para distribución entre el team.</t>
  </si>
  <si>
    <t xml:space="preserve">• Export CSV / PDF con los filtros actuales aplicados.</t>
  </si>
  <si>
    <t xml:space="preserve">• Responsive: funciona desde celular para llamar mientras manejan.</t>
  </si>
  <si>
    <t xml:space="preserve">• Auth: 1 password compartido del equipo. Si pierde el control, se rota en 1 minuto.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</si>
</sst>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\$#,##0"/>
    <numFmt numFmtId="167" formatCode="0%"/>
    <numFmt numFmtId="168" formatCode="0.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i val="true"/>
      <sz val="10"/>
      <color rgb="FF548235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548235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name val="Courier New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0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70C0"/>
      </patternFill>
    </fill>
    <fill>
      <patternFill patternType="solid">
        <fgColor rgb="FFF4F8FB"/>
        <bgColor rgb="FFEAF1F8"/>
      </patternFill>
    </fill>
    <fill>
      <patternFill patternType="solid">
        <fgColor rgb="FFFFFFFF"/>
        <bgColor rgb="FFF4F8FB"/>
      </patternFill>
    </fill>
    <fill>
      <patternFill patternType="solid">
        <fgColor rgb="FFE2F0D9"/>
        <bgColor rgb="FFEAF1F8"/>
      </patternFill>
    </fill>
    <fill>
      <patternFill patternType="solid">
        <fgColor rgb="FFFFF2CC"/>
        <bgColor rgb="FFE2F0D9"/>
      </patternFill>
    </fill>
    <fill>
      <patternFill patternType="solid">
        <fgColor rgb="FFF8CBAD"/>
        <bgColor rgb="FFFFF2CC"/>
      </patternFill>
    </fill>
    <fill>
      <patternFill patternType="solid">
        <fgColor rgb="FFD5E8F0"/>
        <bgColor rgb="FFE2F0D9"/>
      </patternFill>
    </fill>
    <fill>
      <patternFill patternType="solid">
        <fgColor rgb="FFEAF1F8"/>
        <bgColor rgb="FFF4F8FB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CEDC"/>
      </left>
      <right style="thin">
        <color rgb="FFBFCEDC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FCEDC"/>
      </left>
      <right style="thin">
        <color rgb="FFBFCEDC"/>
      </right>
      <top style="thin">
        <color rgb="FFBFCEDC"/>
      </top>
      <bottom style="thin">
        <color rgb="FFBFCEDC"/>
      </bottom>
      <diagonal/>
    </border>
    <border diagonalUp="false" diagonalDown="false">
      <left style="thin">
        <color rgb="FFBFCEDC"/>
      </left>
      <right style="thin">
        <color rgb="FFBFCEDC"/>
      </right>
      <top style="medium">
        <color rgb="FF2E75B6"/>
      </top>
      <bottom style="thin">
        <color rgb="FFBFCEDC"/>
      </bottom>
      <diagonal/>
    </border>
    <border diagonalUp="false" diagonalDown="false">
      <left style="thin">
        <color rgb="FFBFCEDC"/>
      </left>
      <right style="thin">
        <color rgb="FFBFCEDC"/>
      </right>
      <top style="thin">
        <color rgb="FFBFCEDC"/>
      </top>
      <bottom style="medium">
        <color rgb="FF2E75B6"/>
      </bottom>
      <diagonal/>
    </border>
    <border diagonalUp="false" diagonalDown="false">
      <left style="thin">
        <color rgb="FFBFCEDC"/>
      </left>
      <right/>
      <top style="thin">
        <color rgb="FFBFCEDC"/>
      </top>
      <bottom style="thin">
        <color rgb="FFBFCE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7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0" fillId="8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3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9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9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0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1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D5E8F0"/>
      <rgbColor rgb="FF660066"/>
      <rgbColor rgb="FFFF8080"/>
      <rgbColor rgb="FF0070C0"/>
      <rgbColor rgb="FFBFCE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E2F0D9"/>
      <rgbColor rgb="FFF4F8FB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3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24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n">
        <v>15</v>
      </c>
      <c r="C6" s="6" t="n">
        <v>25</v>
      </c>
      <c r="D6" s="7" t="s">
        <v>10</v>
      </c>
      <c r="E6" s="8" t="s">
        <v>11</v>
      </c>
      <c r="F6" s="9" t="s">
        <v>12</v>
      </c>
    </row>
    <row r="7" customFormat="false" ht="15" hidden="false" customHeight="false" outlineLevel="0" collapsed="false">
      <c r="A7" s="10" t="s">
        <v>13</v>
      </c>
      <c r="B7" s="11" t="n">
        <v>0</v>
      </c>
      <c r="C7" s="11" t="n">
        <v>0</v>
      </c>
      <c r="D7" s="12" t="s">
        <v>14</v>
      </c>
      <c r="E7" s="13" t="s">
        <v>15</v>
      </c>
      <c r="F7" s="14" t="s">
        <v>16</v>
      </c>
    </row>
    <row r="8" customFormat="false" ht="15" hidden="false" customHeight="false" outlineLevel="0" collapsed="false">
      <c r="A8" s="5" t="s">
        <v>17</v>
      </c>
      <c r="B8" s="6" t="n">
        <v>0</v>
      </c>
      <c r="C8" s="6" t="n">
        <v>0</v>
      </c>
      <c r="D8" s="7" t="s">
        <v>14</v>
      </c>
      <c r="E8" s="8" t="s">
        <v>18</v>
      </c>
      <c r="F8" s="8" t="s">
        <v>19</v>
      </c>
    </row>
    <row r="9" customFormat="false" ht="15" hidden="false" customHeight="false" outlineLevel="0" collapsed="false">
      <c r="A9" s="10" t="s">
        <v>20</v>
      </c>
      <c r="B9" s="11" t="n">
        <v>0</v>
      </c>
      <c r="C9" s="11" t="n">
        <v>0</v>
      </c>
      <c r="D9" s="12" t="s">
        <v>14</v>
      </c>
      <c r="E9" s="13" t="s">
        <v>21</v>
      </c>
      <c r="F9" s="13" t="s">
        <v>19</v>
      </c>
    </row>
    <row r="10" customFormat="false" ht="15" hidden="false" customHeight="false" outlineLevel="0" collapsed="false">
      <c r="A10" s="5" t="s">
        <v>22</v>
      </c>
      <c r="B10" s="6" t="n">
        <v>0</v>
      </c>
      <c r="C10" s="6" t="n">
        <v>0</v>
      </c>
      <c r="D10" s="7" t="s">
        <v>14</v>
      </c>
      <c r="E10" s="8" t="s">
        <v>23</v>
      </c>
      <c r="F10" s="8" t="s">
        <v>19</v>
      </c>
    </row>
    <row r="11" customFormat="false" ht="15" hidden="false" customHeight="false" outlineLevel="0" collapsed="false">
      <c r="A11" s="10" t="s">
        <v>24</v>
      </c>
      <c r="B11" s="11" t="n">
        <v>15</v>
      </c>
      <c r="C11" s="11" t="n">
        <v>20</v>
      </c>
      <c r="D11" s="12" t="s">
        <v>25</v>
      </c>
      <c r="E11" s="13" t="s">
        <v>26</v>
      </c>
      <c r="F11" s="14" t="s">
        <v>27</v>
      </c>
    </row>
    <row r="12" customFormat="false" ht="23.85" hidden="false" customHeight="false" outlineLevel="0" collapsed="false">
      <c r="A12" s="15" t="s">
        <v>28</v>
      </c>
      <c r="B12" s="16" t="n">
        <v>0</v>
      </c>
      <c r="C12" s="16" t="n">
        <v>60</v>
      </c>
      <c r="D12" s="17" t="s">
        <v>10</v>
      </c>
      <c r="E12" s="18" t="s">
        <v>29</v>
      </c>
      <c r="F12" s="19" t="s">
        <v>30</v>
      </c>
    </row>
    <row r="13" customFormat="false" ht="15" hidden="false" customHeight="false" outlineLevel="0" collapsed="false">
      <c r="A13" s="10" t="s">
        <v>31</v>
      </c>
      <c r="B13" s="11" t="n">
        <v>0</v>
      </c>
      <c r="C13" s="11" t="n">
        <v>0</v>
      </c>
      <c r="D13" s="12" t="s">
        <v>14</v>
      </c>
      <c r="E13" s="13" t="s">
        <v>32</v>
      </c>
      <c r="F13" s="20" t="s">
        <v>30</v>
      </c>
    </row>
    <row r="14" customFormat="false" ht="15" hidden="false" customHeight="false" outlineLevel="0" collapsed="false">
      <c r="A14" s="5" t="s">
        <v>33</v>
      </c>
      <c r="B14" s="6" t="n">
        <v>0</v>
      </c>
      <c r="C14" s="6" t="n">
        <v>0</v>
      </c>
      <c r="D14" s="7" t="s">
        <v>14</v>
      </c>
      <c r="E14" s="8" t="s">
        <v>34</v>
      </c>
      <c r="F14" s="8" t="s">
        <v>19</v>
      </c>
    </row>
    <row r="15" customFormat="false" ht="15" hidden="false" customHeight="false" outlineLevel="0" collapsed="false">
      <c r="A15" s="10" t="s">
        <v>35</v>
      </c>
      <c r="B15" s="11" t="n">
        <v>0</v>
      </c>
      <c r="C15" s="11" t="n">
        <v>0</v>
      </c>
      <c r="D15" s="12" t="s">
        <v>14</v>
      </c>
      <c r="E15" s="13" t="s">
        <v>36</v>
      </c>
      <c r="F15" s="13" t="s">
        <v>19</v>
      </c>
    </row>
    <row r="16" customFormat="false" ht="15" hidden="false" customHeight="false" outlineLevel="0" collapsed="false">
      <c r="A16" s="5" t="s">
        <v>37</v>
      </c>
      <c r="B16" s="6" t="n">
        <v>0</v>
      </c>
      <c r="C16" s="6" t="n">
        <v>0</v>
      </c>
      <c r="D16" s="7" t="s">
        <v>14</v>
      </c>
      <c r="E16" s="8" t="s">
        <v>38</v>
      </c>
      <c r="F16" s="8" t="s">
        <v>19</v>
      </c>
    </row>
    <row r="17" customFormat="false" ht="15" hidden="false" customHeight="false" outlineLevel="0" collapsed="false">
      <c r="A17" s="21" t="s">
        <v>39</v>
      </c>
      <c r="B17" s="22" t="n">
        <f aca="false">SUM(B6:B16)-B12</f>
        <v>30</v>
      </c>
      <c r="C17" s="22" t="n">
        <f aca="false">SUM(C6:C16)-C12</f>
        <v>45</v>
      </c>
      <c r="D17" s="23"/>
      <c r="E17" s="24" t="s">
        <v>40</v>
      </c>
      <c r="F17" s="23"/>
    </row>
    <row r="18" customFormat="false" ht="15" hidden="false" customHeight="false" outlineLevel="0" collapsed="false">
      <c r="A18" s="25" t="s">
        <v>41</v>
      </c>
      <c r="B18" s="26" t="n">
        <f aca="false">SUM(B6:B16)</f>
        <v>30</v>
      </c>
      <c r="C18" s="26" t="n">
        <f aca="false">SUM(C6:C16)</f>
        <v>105</v>
      </c>
      <c r="D18" s="27"/>
      <c r="E18" s="28" t="s">
        <v>42</v>
      </c>
      <c r="F18" s="27"/>
    </row>
    <row r="20" customFormat="false" ht="15" hidden="false" customHeight="false" outlineLevel="0" collapsed="false">
      <c r="A20" s="29" t="s">
        <v>43</v>
      </c>
      <c r="B20" s="30" t="n">
        <f aca="false">B17*12</f>
        <v>360</v>
      </c>
      <c r="C20" s="30" t="n">
        <f aca="false">C17*12</f>
        <v>540</v>
      </c>
    </row>
    <row r="21" customFormat="false" ht="15" hidden="false" customHeight="false" outlineLevel="0" collapsed="false">
      <c r="A21" s="29" t="s">
        <v>44</v>
      </c>
      <c r="B21" s="30" t="n">
        <f aca="false">B18*12</f>
        <v>360</v>
      </c>
      <c r="C21" s="30" t="n">
        <f aca="false">C18*12</f>
        <v>1260</v>
      </c>
    </row>
    <row r="24" customFormat="false" ht="15" hidden="false" customHeight="false" outlineLevel="0" collapsed="false">
      <c r="A24" s="3" t="s">
        <v>45</v>
      </c>
      <c r="B24" s="3"/>
      <c r="C24" s="3"/>
      <c r="D24" s="3"/>
      <c r="E24" s="3"/>
      <c r="F24" s="3"/>
    </row>
    <row r="25" customFormat="false" ht="24" hidden="false" customHeight="true" outlineLevel="0" collapsed="false">
      <c r="A25" s="4" t="s">
        <v>46</v>
      </c>
      <c r="B25" s="4" t="s">
        <v>47</v>
      </c>
      <c r="C25" s="4" t="s">
        <v>48</v>
      </c>
      <c r="D25" s="4" t="s">
        <v>49</v>
      </c>
      <c r="E25" s="4" t="s">
        <v>50</v>
      </c>
      <c r="F25" s="4" t="s">
        <v>7</v>
      </c>
    </row>
    <row r="26" customFormat="false" ht="15" hidden="false" customHeight="false" outlineLevel="0" collapsed="false">
      <c r="A26" s="31" t="s">
        <v>51</v>
      </c>
      <c r="B26" s="32" t="n">
        <v>180</v>
      </c>
      <c r="C26" s="32" t="n">
        <v>290</v>
      </c>
      <c r="D26" s="33" t="s">
        <v>52</v>
      </c>
      <c r="E26" s="33" t="s">
        <v>52</v>
      </c>
      <c r="F26" s="34" t="s">
        <v>53</v>
      </c>
    </row>
    <row r="27" customFormat="false" ht="15" hidden="false" customHeight="false" outlineLevel="0" collapsed="false">
      <c r="A27" s="35" t="s">
        <v>54</v>
      </c>
      <c r="B27" s="36" t="n">
        <f aca="false">B17</f>
        <v>30</v>
      </c>
      <c r="C27" s="36" t="n">
        <f aca="false">C17</f>
        <v>45</v>
      </c>
      <c r="D27" s="36" t="n">
        <f aca="false">B26-C27</f>
        <v>135</v>
      </c>
      <c r="E27" s="37" t="n">
        <f aca="false">(B26-C27)/B26</f>
        <v>0.75</v>
      </c>
      <c r="F27" s="38" t="s">
        <v>55</v>
      </c>
    </row>
  </sheetData>
  <mergeCells count="4">
    <mergeCell ref="A1:F1"/>
    <mergeCell ref="A2:F2"/>
    <mergeCell ref="A4:F4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8"/>
  </cols>
  <sheetData>
    <row r="1" customFormat="false" ht="31.5" hidden="false" customHeight="true" outlineLevel="0" collapsed="false">
      <c r="A1" s="1" t="s">
        <v>56</v>
      </c>
      <c r="B1" s="1"/>
      <c r="C1" s="1"/>
      <c r="D1" s="1"/>
    </row>
    <row r="2" customFormat="false" ht="15" hidden="false" customHeight="false" outlineLevel="0" collapsed="false">
      <c r="A2" s="2" t="s">
        <v>57</v>
      </c>
      <c r="B2" s="2"/>
      <c r="C2" s="2"/>
      <c r="D2" s="2"/>
    </row>
    <row r="4" customFormat="false" ht="15" hidden="false" customHeight="false" outlineLevel="0" collapsed="false">
      <c r="A4" s="3" t="s">
        <v>58</v>
      </c>
      <c r="B4" s="3"/>
      <c r="C4" s="3"/>
      <c r="D4" s="3"/>
    </row>
    <row r="5" customFormat="false" ht="24" hidden="false" customHeight="true" outlineLevel="0" collapsed="false">
      <c r="A5" s="4" t="s">
        <v>59</v>
      </c>
      <c r="B5" s="4" t="s">
        <v>60</v>
      </c>
      <c r="C5" s="4" t="s">
        <v>61</v>
      </c>
      <c r="D5" s="4" t="s">
        <v>62</v>
      </c>
    </row>
    <row r="6" customFormat="false" ht="49.5" hidden="false" customHeight="true" outlineLevel="0" collapsed="false">
      <c r="A6" s="5" t="s">
        <v>63</v>
      </c>
      <c r="B6" s="39" t="s">
        <v>64</v>
      </c>
      <c r="C6" s="40" t="s">
        <v>65</v>
      </c>
      <c r="D6" s="7" t="s">
        <v>66</v>
      </c>
    </row>
    <row r="7" customFormat="false" ht="49.5" hidden="false" customHeight="true" outlineLevel="0" collapsed="false">
      <c r="A7" s="10" t="s">
        <v>67</v>
      </c>
      <c r="B7" s="41" t="s">
        <v>68</v>
      </c>
      <c r="C7" s="42" t="s">
        <v>69</v>
      </c>
      <c r="D7" s="12" t="s">
        <v>70</v>
      </c>
    </row>
    <row r="8" customFormat="false" ht="49.5" hidden="false" customHeight="true" outlineLevel="0" collapsed="false">
      <c r="A8" s="5" t="s">
        <v>71</v>
      </c>
      <c r="B8" s="39" t="s">
        <v>72</v>
      </c>
      <c r="C8" s="40" t="s">
        <v>73</v>
      </c>
      <c r="D8" s="7" t="s">
        <v>74</v>
      </c>
    </row>
    <row r="9" customFormat="false" ht="49.5" hidden="false" customHeight="true" outlineLevel="0" collapsed="false">
      <c r="A9" s="10" t="s">
        <v>75</v>
      </c>
      <c r="B9" s="41" t="s">
        <v>76</v>
      </c>
      <c r="C9" s="42" t="s">
        <v>77</v>
      </c>
      <c r="D9" s="12" t="s">
        <v>78</v>
      </c>
    </row>
    <row r="10" customFormat="false" ht="49.5" hidden="false" customHeight="true" outlineLevel="0" collapsed="false">
      <c r="A10" s="5" t="s">
        <v>79</v>
      </c>
      <c r="B10" s="39" t="s">
        <v>80</v>
      </c>
      <c r="C10" s="40" t="s">
        <v>81</v>
      </c>
      <c r="D10" s="7" t="s">
        <v>82</v>
      </c>
    </row>
    <row r="11" customFormat="false" ht="49.5" hidden="false" customHeight="true" outlineLevel="0" collapsed="false">
      <c r="A11" s="10" t="s">
        <v>83</v>
      </c>
      <c r="B11" s="41" t="s">
        <v>84</v>
      </c>
      <c r="C11" s="42" t="s">
        <v>85</v>
      </c>
      <c r="D11" s="12" t="s">
        <v>86</v>
      </c>
    </row>
  </sheetData>
  <mergeCells count="3">
    <mergeCell ref="A1:D1"/>
    <mergeCell ref="A2:D2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31.5" hidden="false" customHeight="true" outlineLevel="0" collapsed="false">
      <c r="A1" s="1" t="s">
        <v>87</v>
      </c>
      <c r="B1" s="1"/>
      <c r="C1" s="1"/>
      <c r="D1" s="1"/>
    </row>
    <row r="2" customFormat="false" ht="15" hidden="false" customHeight="false" outlineLevel="0" collapsed="false">
      <c r="A2" s="2" t="s">
        <v>88</v>
      </c>
      <c r="B2" s="2"/>
      <c r="C2" s="2"/>
      <c r="D2" s="2"/>
    </row>
    <row r="4" customFormat="false" ht="15" hidden="false" customHeight="false" outlineLevel="0" collapsed="false">
      <c r="A4" s="3" t="s">
        <v>89</v>
      </c>
      <c r="B4" s="3"/>
      <c r="C4" s="3"/>
      <c r="D4" s="3"/>
    </row>
    <row r="5" customFormat="false" ht="15" hidden="false" customHeight="false" outlineLevel="0" collapsed="false">
      <c r="A5" s="43" t="s">
        <v>90</v>
      </c>
      <c r="B5" s="44" t="n">
        <v>40</v>
      </c>
      <c r="C5" s="45" t="s">
        <v>91</v>
      </c>
    </row>
    <row r="6" customFormat="false" ht="15" hidden="false" customHeight="false" outlineLevel="0" collapsed="false">
      <c r="A6" s="43" t="s">
        <v>92</v>
      </c>
      <c r="B6" s="44" t="n">
        <v>22</v>
      </c>
      <c r="C6" s="45" t="s">
        <v>93</v>
      </c>
    </row>
    <row r="7" customFormat="false" ht="15" hidden="false" customHeight="false" outlineLevel="0" collapsed="false">
      <c r="A7" s="43" t="s">
        <v>94</v>
      </c>
      <c r="B7" s="46" t="n">
        <v>75</v>
      </c>
      <c r="C7" s="45" t="s">
        <v>95</v>
      </c>
    </row>
    <row r="8" customFormat="false" ht="15" hidden="false" customHeight="false" outlineLevel="0" collapsed="false">
      <c r="A8" s="43" t="s">
        <v>96</v>
      </c>
      <c r="B8" s="46" t="n">
        <v>45</v>
      </c>
      <c r="C8" s="45" t="s">
        <v>97</v>
      </c>
    </row>
    <row r="9" customFormat="false" ht="15" hidden="false" customHeight="false" outlineLevel="0" collapsed="false">
      <c r="A9" s="43" t="s">
        <v>98</v>
      </c>
      <c r="B9" s="44" t="n">
        <v>1</v>
      </c>
      <c r="C9" s="45" t="s">
        <v>99</v>
      </c>
    </row>
    <row r="10" customFormat="false" ht="15" hidden="false" customHeight="false" outlineLevel="0" collapsed="false">
      <c r="A10" s="43" t="s">
        <v>100</v>
      </c>
      <c r="B10" s="46" t="n">
        <v>8000</v>
      </c>
      <c r="C10" s="45" t="s">
        <v>101</v>
      </c>
    </row>
    <row r="13" customFormat="false" ht="15" hidden="false" customHeight="false" outlineLevel="0" collapsed="false">
      <c r="A13" s="3" t="s">
        <v>102</v>
      </c>
      <c r="B13" s="3"/>
      <c r="C13" s="3"/>
      <c r="D13" s="3"/>
    </row>
    <row r="14" customFormat="false" ht="15" hidden="false" customHeight="false" outlineLevel="0" collapsed="false">
      <c r="A14" s="43" t="s">
        <v>103</v>
      </c>
      <c r="B14" s="47" t="n">
        <f aca="false">B5*B6/60</f>
        <v>14.6666666666667</v>
      </c>
      <c r="C14" s="48" t="s">
        <v>104</v>
      </c>
    </row>
    <row r="15" customFormat="false" ht="15" hidden="false" customHeight="false" outlineLevel="0" collapsed="false">
      <c r="A15" s="49" t="s">
        <v>105</v>
      </c>
      <c r="B15" s="50" t="n">
        <f aca="false">B5*B6/60*B7</f>
        <v>1100</v>
      </c>
      <c r="C15" s="51" t="s">
        <v>106</v>
      </c>
    </row>
    <row r="16" customFormat="false" ht="15" hidden="false" customHeight="false" outlineLevel="0" collapsed="false">
      <c r="A16" s="43" t="s">
        <v>107</v>
      </c>
      <c r="B16" s="52" t="n">
        <f aca="false">B5*B6/60*B7*12</f>
        <v>13200</v>
      </c>
      <c r="C16" s="48" t="s">
        <v>106</v>
      </c>
    </row>
    <row r="17" customFormat="false" ht="15" hidden="false" customHeight="false" outlineLevel="0" collapsed="false">
      <c r="A17" s="49" t="s">
        <v>108</v>
      </c>
      <c r="B17" s="50" t="n">
        <f aca="false">B8*12</f>
        <v>540</v>
      </c>
      <c r="C17" s="51" t="s">
        <v>106</v>
      </c>
    </row>
    <row r="18" customFormat="false" ht="15" hidden="false" customHeight="false" outlineLevel="0" collapsed="false">
      <c r="A18" s="43" t="s">
        <v>109</v>
      </c>
      <c r="B18" s="52" t="n">
        <f aca="false">B5*B6/60*B7*12-B8*12</f>
        <v>12660</v>
      </c>
      <c r="C18" s="48" t="s">
        <v>106</v>
      </c>
    </row>
    <row r="19" customFormat="false" ht="15" hidden="false" customHeight="false" outlineLevel="0" collapsed="false">
      <c r="A19" s="49" t="s">
        <v>110</v>
      </c>
      <c r="B19" s="50" t="n">
        <f aca="false">B9*B10</f>
        <v>8000</v>
      </c>
      <c r="C19" s="51" t="s">
        <v>106</v>
      </c>
    </row>
    <row r="20" customFormat="false" ht="15" hidden="false" customHeight="false" outlineLevel="0" collapsed="false">
      <c r="A20" s="53" t="s">
        <v>111</v>
      </c>
      <c r="B20" s="54" t="n">
        <f aca="false">B5*B6/60*B7*12-B8*12+B9*B10</f>
        <v>20660</v>
      </c>
      <c r="C20" s="55" t="s">
        <v>106</v>
      </c>
    </row>
    <row r="21" customFormat="false" ht="15" hidden="false" customHeight="false" outlineLevel="0" collapsed="false">
      <c r="A21" s="49" t="s">
        <v>112</v>
      </c>
      <c r="B21" s="56" t="n">
        <f aca="false">(B5*B6/60*B7*12-B8*12+B9*B10)/(B8*12)</f>
        <v>38.2592592592593</v>
      </c>
      <c r="C21" s="51" t="s">
        <v>113</v>
      </c>
    </row>
    <row r="22" customFormat="false" ht="15" hidden="false" customHeight="false" outlineLevel="0" collapsed="false">
      <c r="A22" s="57" t="s">
        <v>114</v>
      </c>
      <c r="B22" s="58" t="n">
        <f aca="false">B8/(B5*B6/60*B7)</f>
        <v>0.0409090909090909</v>
      </c>
      <c r="C22" s="59" t="s">
        <v>115</v>
      </c>
    </row>
    <row r="25" customFormat="false" ht="31.5" hidden="false" customHeight="true" outlineLevel="0" collapsed="false">
      <c r="A25" s="60" t="s">
        <v>116</v>
      </c>
      <c r="B25" s="60"/>
      <c r="C25" s="60"/>
      <c r="D25" s="60"/>
    </row>
  </sheetData>
  <mergeCells count="5">
    <mergeCell ref="A1:D1"/>
    <mergeCell ref="A2:D2"/>
    <mergeCell ref="A4:D4"/>
    <mergeCell ref="A13:D13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1" t="s">
        <v>117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118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119</v>
      </c>
      <c r="B4" s="3"/>
      <c r="C4" s="3"/>
      <c r="D4" s="3"/>
      <c r="E4" s="3"/>
      <c r="F4" s="3"/>
    </row>
    <row r="5" customFormat="false" ht="24" hidden="false" customHeight="true" outlineLevel="0" collapsed="false">
      <c r="A5" s="4" t="s">
        <v>120</v>
      </c>
      <c r="B5" s="4" t="s">
        <v>121</v>
      </c>
      <c r="C5" s="4" t="s">
        <v>122</v>
      </c>
      <c r="D5" s="4" t="s">
        <v>123</v>
      </c>
      <c r="E5" s="4" t="s">
        <v>124</v>
      </c>
      <c r="F5" s="4" t="s">
        <v>125</v>
      </c>
    </row>
    <row r="6" customFormat="false" ht="23.85" hidden="false" customHeight="false" outlineLevel="0" collapsed="false">
      <c r="A6" s="5" t="s">
        <v>126</v>
      </c>
      <c r="B6" s="5" t="s">
        <v>127</v>
      </c>
      <c r="C6" s="61" t="s">
        <v>128</v>
      </c>
      <c r="D6" s="61" t="s">
        <v>129</v>
      </c>
      <c r="E6" s="61" t="s">
        <v>130</v>
      </c>
      <c r="F6" s="61" t="s">
        <v>131</v>
      </c>
    </row>
    <row r="7" customFormat="false" ht="23.85" hidden="false" customHeight="false" outlineLevel="0" collapsed="false">
      <c r="A7" s="10" t="s">
        <v>132</v>
      </c>
      <c r="B7" s="10" t="s">
        <v>133</v>
      </c>
      <c r="C7" s="62" t="s">
        <v>134</v>
      </c>
      <c r="D7" s="62" t="s">
        <v>129</v>
      </c>
      <c r="E7" s="62" t="s">
        <v>130</v>
      </c>
      <c r="F7" s="62" t="s">
        <v>131</v>
      </c>
    </row>
    <row r="8" customFormat="false" ht="23.85" hidden="false" customHeight="false" outlineLevel="0" collapsed="false">
      <c r="A8" s="5" t="s">
        <v>135</v>
      </c>
      <c r="B8" s="5" t="s">
        <v>136</v>
      </c>
      <c r="C8" s="61" t="s">
        <v>137</v>
      </c>
      <c r="D8" s="61" t="s">
        <v>129</v>
      </c>
      <c r="E8" s="61" t="s">
        <v>130</v>
      </c>
      <c r="F8" s="61" t="s">
        <v>131</v>
      </c>
    </row>
    <row r="9" customFormat="false" ht="23.85" hidden="false" customHeight="false" outlineLevel="0" collapsed="false">
      <c r="A9" s="10" t="s">
        <v>138</v>
      </c>
      <c r="B9" s="10" t="s">
        <v>139</v>
      </c>
      <c r="C9" s="62" t="s">
        <v>140</v>
      </c>
      <c r="D9" s="62" t="s">
        <v>141</v>
      </c>
      <c r="E9" s="62" t="s">
        <v>130</v>
      </c>
      <c r="F9" s="62" t="s">
        <v>131</v>
      </c>
    </row>
    <row r="10" customFormat="false" ht="23.85" hidden="false" customHeight="false" outlineLevel="0" collapsed="false">
      <c r="A10" s="63" t="s">
        <v>142</v>
      </c>
      <c r="B10" s="63" t="s">
        <v>143</v>
      </c>
      <c r="C10" s="64" t="s">
        <v>144</v>
      </c>
      <c r="D10" s="65" t="s">
        <v>145</v>
      </c>
      <c r="E10" s="64" t="s">
        <v>146</v>
      </c>
      <c r="F10" s="64" t="s">
        <v>131</v>
      </c>
    </row>
    <row r="11" customFormat="false" ht="23.85" hidden="false" customHeight="false" outlineLevel="0" collapsed="false">
      <c r="A11" s="10" t="s">
        <v>147</v>
      </c>
      <c r="B11" s="10" t="s">
        <v>148</v>
      </c>
      <c r="C11" s="62" t="s">
        <v>149</v>
      </c>
      <c r="D11" s="62" t="s">
        <v>150</v>
      </c>
      <c r="E11" s="62" t="s">
        <v>151</v>
      </c>
      <c r="F11" s="62" t="s">
        <v>131</v>
      </c>
    </row>
    <row r="12" customFormat="false" ht="15" hidden="false" customHeight="false" outlineLevel="0" collapsed="false">
      <c r="A12" s="5" t="s">
        <v>152</v>
      </c>
      <c r="B12" s="5" t="s">
        <v>153</v>
      </c>
      <c r="C12" s="61" t="s">
        <v>154</v>
      </c>
      <c r="D12" s="61" t="s">
        <v>155</v>
      </c>
      <c r="E12" s="61" t="s">
        <v>156</v>
      </c>
      <c r="F12" s="61" t="s">
        <v>131</v>
      </c>
    </row>
    <row r="13" customFormat="false" ht="23.85" hidden="false" customHeight="false" outlineLevel="0" collapsed="false">
      <c r="A13" s="63" t="s">
        <v>157</v>
      </c>
      <c r="B13" s="63" t="s">
        <v>158</v>
      </c>
      <c r="C13" s="64" t="s">
        <v>159</v>
      </c>
      <c r="D13" s="65" t="s">
        <v>160</v>
      </c>
      <c r="E13" s="64" t="s">
        <v>156</v>
      </c>
      <c r="F13" s="64" t="s">
        <v>131</v>
      </c>
    </row>
    <row r="16" customFormat="false" ht="15" hidden="false" customHeight="false" outlineLevel="0" collapsed="false">
      <c r="A16" s="3" t="s">
        <v>161</v>
      </c>
      <c r="B16" s="3"/>
      <c r="C16" s="3"/>
      <c r="D16" s="3"/>
      <c r="E16" s="3"/>
      <c r="F16" s="3"/>
    </row>
    <row r="17" customFormat="false" ht="24" hidden="false" customHeight="true" outlineLevel="0" collapsed="false">
      <c r="A17" s="4" t="s">
        <v>120</v>
      </c>
      <c r="B17" s="4" t="s">
        <v>162</v>
      </c>
      <c r="C17" s="4" t="s">
        <v>163</v>
      </c>
      <c r="D17" s="4" t="s">
        <v>164</v>
      </c>
      <c r="E17" s="4" t="s">
        <v>165</v>
      </c>
      <c r="F17" s="4" t="s">
        <v>125</v>
      </c>
    </row>
    <row r="18" customFormat="false" ht="23.85" hidden="false" customHeight="false" outlineLevel="0" collapsed="false">
      <c r="A18" s="5" t="s">
        <v>126</v>
      </c>
      <c r="B18" s="5" t="s">
        <v>166</v>
      </c>
      <c r="C18" s="61" t="s">
        <v>167</v>
      </c>
      <c r="D18" s="61" t="s">
        <v>14</v>
      </c>
      <c r="E18" s="61" t="s">
        <v>168</v>
      </c>
      <c r="F18" s="61" t="s">
        <v>131</v>
      </c>
    </row>
    <row r="19" customFormat="false" ht="15" hidden="false" customHeight="false" outlineLevel="0" collapsed="false">
      <c r="A19" s="10" t="s">
        <v>132</v>
      </c>
      <c r="B19" s="10" t="s">
        <v>169</v>
      </c>
      <c r="C19" s="62" t="s">
        <v>170</v>
      </c>
      <c r="D19" s="62" t="s">
        <v>171</v>
      </c>
      <c r="E19" s="62" t="s">
        <v>172</v>
      </c>
      <c r="F19" s="62" t="s">
        <v>131</v>
      </c>
    </row>
    <row r="20" customFormat="false" ht="15" hidden="false" customHeight="false" outlineLevel="0" collapsed="false">
      <c r="A20" s="5" t="s">
        <v>135</v>
      </c>
      <c r="B20" s="5" t="s">
        <v>173</v>
      </c>
      <c r="C20" s="61" t="s">
        <v>174</v>
      </c>
      <c r="D20" s="61" t="s">
        <v>10</v>
      </c>
      <c r="E20" s="61" t="s">
        <v>175</v>
      </c>
      <c r="F20" s="61" t="s">
        <v>131</v>
      </c>
    </row>
    <row r="21" customFormat="false" ht="15" hidden="false" customHeight="false" outlineLevel="0" collapsed="false">
      <c r="A21" s="10" t="s">
        <v>138</v>
      </c>
      <c r="B21" s="10" t="s">
        <v>176</v>
      </c>
      <c r="C21" s="62" t="s">
        <v>177</v>
      </c>
      <c r="D21" s="62" t="s">
        <v>14</v>
      </c>
      <c r="E21" s="62" t="s">
        <v>172</v>
      </c>
      <c r="F21" s="62" t="s">
        <v>131</v>
      </c>
    </row>
    <row r="22" customFormat="false" ht="15" hidden="false" customHeight="false" outlineLevel="0" collapsed="false">
      <c r="A22" s="5" t="s">
        <v>142</v>
      </c>
      <c r="B22" s="5" t="s">
        <v>178</v>
      </c>
      <c r="C22" s="61" t="s">
        <v>179</v>
      </c>
      <c r="D22" s="61" t="s">
        <v>14</v>
      </c>
      <c r="E22" s="61" t="s">
        <v>172</v>
      </c>
      <c r="F22" s="61" t="s">
        <v>131</v>
      </c>
    </row>
    <row r="23" customFormat="false" ht="23.85" hidden="false" customHeight="false" outlineLevel="0" collapsed="false">
      <c r="A23" s="10" t="s">
        <v>147</v>
      </c>
      <c r="B23" s="10" t="s">
        <v>180</v>
      </c>
      <c r="C23" s="62" t="s">
        <v>181</v>
      </c>
      <c r="D23" s="62" t="s">
        <v>182</v>
      </c>
      <c r="E23" s="62" t="s">
        <v>183</v>
      </c>
      <c r="F23" s="62" t="s">
        <v>184</v>
      </c>
    </row>
  </sheetData>
  <mergeCells count="4">
    <mergeCell ref="A1:F1"/>
    <mergeCell ref="A2:F2"/>
    <mergeCell ref="A4:F4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" t="s">
        <v>185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186</v>
      </c>
      <c r="B2" s="2"/>
      <c r="C2" s="2"/>
      <c r="D2" s="2"/>
      <c r="E2" s="2"/>
    </row>
    <row r="4" customFormat="false" ht="15" hidden="false" customHeight="false" outlineLevel="0" collapsed="false">
      <c r="A4" s="66" t="s">
        <v>187</v>
      </c>
      <c r="B4" s="66"/>
      <c r="C4" s="66"/>
      <c r="D4" s="66"/>
      <c r="E4" s="66"/>
    </row>
    <row r="5" customFormat="false" ht="30" hidden="false" customHeight="true" outlineLevel="0" collapsed="false">
      <c r="A5" s="67" t="s">
        <v>188</v>
      </c>
      <c r="B5" s="67"/>
      <c r="C5" s="67"/>
      <c r="D5" s="68" t="s">
        <v>189</v>
      </c>
      <c r="E5" s="68" t="s">
        <v>190</v>
      </c>
    </row>
    <row r="6" customFormat="false" ht="18" hidden="false" customHeight="true" outlineLevel="0" collapsed="false">
      <c r="A6" s="69" t="s">
        <v>191</v>
      </c>
      <c r="B6" s="70" t="s">
        <v>192</v>
      </c>
      <c r="C6" s="71" t="s">
        <v>193</v>
      </c>
      <c r="D6" s="72" t="s">
        <v>194</v>
      </c>
      <c r="E6" s="73" t="s">
        <v>195</v>
      </c>
    </row>
    <row r="7" customFormat="false" ht="31.5" hidden="false" customHeight="true" outlineLevel="0" collapsed="false">
      <c r="A7" s="74" t="s">
        <v>196</v>
      </c>
      <c r="B7" s="75" t="s">
        <v>197</v>
      </c>
      <c r="C7" s="76" t="s">
        <v>198</v>
      </c>
      <c r="D7" s="77" t="s">
        <v>157</v>
      </c>
      <c r="E7" s="78" t="s">
        <v>199</v>
      </c>
    </row>
    <row r="9" customFormat="false" ht="21.75" hidden="false" customHeight="true" outlineLevel="0" collapsed="false">
      <c r="A9" s="79" t="s">
        <v>200</v>
      </c>
      <c r="B9" s="79"/>
      <c r="C9" s="79" t="s">
        <v>201</v>
      </c>
      <c r="D9" s="79"/>
      <c r="E9" s="79"/>
    </row>
    <row r="10" customFormat="false" ht="24" hidden="false" customHeight="true" outlineLevel="0" collapsed="false">
      <c r="A10" s="4"/>
      <c r="B10" s="4"/>
      <c r="C10" s="80" t="s">
        <v>202</v>
      </c>
      <c r="D10" s="80" t="s">
        <v>203</v>
      </c>
      <c r="E10" s="80" t="s">
        <v>204</v>
      </c>
    </row>
    <row r="11" customFormat="false" ht="15" hidden="false" customHeight="false" outlineLevel="0" collapsed="false">
      <c r="A11" s="81" t="s">
        <v>205</v>
      </c>
      <c r="B11" s="82" t="s">
        <v>206</v>
      </c>
      <c r="C11" s="83" t="s">
        <v>207</v>
      </c>
      <c r="D11" s="83" t="s">
        <v>208</v>
      </c>
      <c r="E11" s="83" t="s">
        <v>209</v>
      </c>
    </row>
    <row r="12" customFormat="false" ht="15" hidden="false" customHeight="false" outlineLevel="0" collapsed="false">
      <c r="A12" s="81" t="s">
        <v>210</v>
      </c>
      <c r="B12" s="82" t="s">
        <v>211</v>
      </c>
      <c r="C12" s="84" t="s">
        <v>212</v>
      </c>
      <c r="D12" s="84" t="s">
        <v>213</v>
      </c>
      <c r="E12" s="84" t="s">
        <v>214</v>
      </c>
    </row>
    <row r="13" customFormat="false" ht="15" hidden="false" customHeight="false" outlineLevel="0" collapsed="false">
      <c r="A13" s="81" t="s">
        <v>215</v>
      </c>
      <c r="B13" s="82" t="s">
        <v>216</v>
      </c>
      <c r="C13" s="83" t="s">
        <v>217</v>
      </c>
      <c r="D13" s="83" t="s">
        <v>208</v>
      </c>
      <c r="E13" s="83" t="s">
        <v>218</v>
      </c>
    </row>
    <row r="14" customFormat="false" ht="15" hidden="false" customHeight="false" outlineLevel="0" collapsed="false">
      <c r="A14" s="81" t="s">
        <v>219</v>
      </c>
      <c r="B14" s="82" t="s">
        <v>220</v>
      </c>
      <c r="C14" s="84" t="s">
        <v>221</v>
      </c>
      <c r="D14" s="84" t="s">
        <v>222</v>
      </c>
      <c r="E14" s="84" t="s">
        <v>223</v>
      </c>
    </row>
    <row r="15" customFormat="false" ht="15" hidden="false" customHeight="false" outlineLevel="0" collapsed="false">
      <c r="A15" s="81" t="s">
        <v>224</v>
      </c>
      <c r="B15" s="82" t="s">
        <v>225</v>
      </c>
      <c r="C15" s="83" t="s">
        <v>226</v>
      </c>
      <c r="D15" s="83" t="s">
        <v>227</v>
      </c>
      <c r="E15" s="83" t="s">
        <v>228</v>
      </c>
    </row>
    <row r="16" customFormat="false" ht="15" hidden="false" customHeight="false" outlineLevel="0" collapsed="false">
      <c r="C16" s="84" t="s">
        <v>229</v>
      </c>
      <c r="D16" s="84" t="s">
        <v>208</v>
      </c>
      <c r="E16" s="84" t="s">
        <v>230</v>
      </c>
    </row>
    <row r="19" customFormat="false" ht="15" hidden="false" customHeight="false" outlineLevel="0" collapsed="false">
      <c r="A19" s="3" t="s">
        <v>231</v>
      </c>
      <c r="B19" s="3"/>
      <c r="C19" s="3"/>
      <c r="D19" s="3"/>
      <c r="E19" s="3"/>
    </row>
    <row r="20" customFormat="false" ht="15" hidden="false" customHeight="false" outlineLevel="0" collapsed="false">
      <c r="A20" s="85" t="s">
        <v>232</v>
      </c>
      <c r="B20" s="85"/>
      <c r="C20" s="85"/>
      <c r="D20" s="85"/>
      <c r="E20" s="85"/>
    </row>
    <row r="21" customFormat="false" ht="15" hidden="false" customHeight="false" outlineLevel="0" collapsed="false">
      <c r="A21" s="85" t="s">
        <v>233</v>
      </c>
      <c r="B21" s="85"/>
      <c r="C21" s="85"/>
      <c r="D21" s="85"/>
      <c r="E21" s="85"/>
    </row>
    <row r="22" customFormat="false" ht="15" hidden="false" customHeight="false" outlineLevel="0" collapsed="false">
      <c r="A22" s="85" t="s">
        <v>234</v>
      </c>
      <c r="B22" s="85"/>
      <c r="C22" s="85"/>
      <c r="D22" s="85"/>
      <c r="E22" s="85"/>
    </row>
    <row r="23" customFormat="false" ht="15" hidden="false" customHeight="false" outlineLevel="0" collapsed="false">
      <c r="A23" s="85" t="s">
        <v>235</v>
      </c>
      <c r="B23" s="85"/>
      <c r="C23" s="85"/>
      <c r="D23" s="85"/>
      <c r="E23" s="85"/>
    </row>
    <row r="24" customFormat="false" ht="15" hidden="false" customHeight="false" outlineLevel="0" collapsed="false">
      <c r="A24" s="85" t="s">
        <v>236</v>
      </c>
      <c r="B24" s="85"/>
      <c r="C24" s="85"/>
      <c r="D24" s="85"/>
      <c r="E24" s="85"/>
    </row>
    <row r="25" customFormat="false" ht="15" hidden="false" customHeight="false" outlineLevel="0" collapsed="false">
      <c r="A25" s="85" t="s">
        <v>237</v>
      </c>
      <c r="B25" s="85"/>
      <c r="C25" s="85"/>
      <c r="D25" s="85"/>
      <c r="E25" s="85"/>
    </row>
    <row r="26" customFormat="false" ht="15" hidden="false" customHeight="false" outlineLevel="0" collapsed="false">
      <c r="A26" s="85" t="s">
        <v>238</v>
      </c>
      <c r="B26" s="85"/>
      <c r="C26" s="85"/>
      <c r="D26" s="85"/>
      <c r="E26" s="85"/>
    </row>
    <row r="27" customFormat="false" ht="15" hidden="false" customHeight="false" outlineLevel="0" collapsed="false">
      <c r="A27" s="85" t="s">
        <v>239</v>
      </c>
      <c r="B27" s="85"/>
      <c r="C27" s="85"/>
      <c r="D27" s="85"/>
      <c r="E27" s="85"/>
    </row>
  </sheetData>
  <mergeCells count="15">
    <mergeCell ref="A1:E1"/>
    <mergeCell ref="A2:E2"/>
    <mergeCell ref="A4:E4"/>
    <mergeCell ref="A5:C5"/>
    <mergeCell ref="A9:B9"/>
    <mergeCell ref="C9:E9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2026-05-06T16:36:02Z</dcterms:created>
  <dc:creator>openpyxl</dc:creator>
  <dc:description/>
  <dc:language>en-US</dc:language>
  <cp:lastModifiedBy/>
  <dcterms:modified xsi:type="dcterms:W3CDTF">2026-05-06T16:36:02Z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