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ummary" sheetId="1" state="visible" r:id="rId3"/>
    <sheet name="Timeline" sheetId="2" state="visible" r:id="rId4"/>
    <sheet name="ROI Calculator" sheetId="3" state="visible" r:id="rId5"/>
    <sheet name="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<sst xmlns="http://schemas.openxmlformats.org/spreadsheetml/2006/main" count="232" uniqueCount="190">
  <si>
    <t xml:space="preserve">101 Advisors – Lead Generation Platform</t>
  </si>
  <si>
    <t xml:space="preserve">Monthly cost breakdown · Tri-county (Miami-Dade, Broward, Palm Beach)</t>
  </si>
  <si>
    <t xml:space="preserve">Concepto</t>
  </si>
  <si>
    <t xml:space="preserve">Costo Mín ($)</t>
  </si>
  <si>
    <t xml:space="preserve">Costo Máx ($)</t>
  </si>
  <si>
    <t xml:space="preserve">Tipo</t>
  </si>
  <si>
    <t xml:space="preserve">Notas</t>
  </si>
  <si>
    <t xml:space="preserve">Miami-Dade Commercial Data Services</t>
  </si>
  <si>
    <t xml:space="preserve">Variable</t>
  </si>
  <si>
    <t xml:space="preserve">Bulk folder $110/mo o API $0.20/req</t>
  </si>
  <si>
    <t xml:space="preserve">Broward Clerk API (premium)</t>
  </si>
  <si>
    <t xml:space="preserve">Registro notariado requerido</t>
  </si>
  <si>
    <t xml:space="preserve">Palm Beach Clerk reportes</t>
  </si>
  <si>
    <t xml:space="preserve">Reportes pagos por documento</t>
  </si>
  <si>
    <t xml:space="preserve">Tax Collectors (3 condados)</t>
  </si>
  <si>
    <t xml:space="preserve">Gratis</t>
  </si>
  <si>
    <t xml:space="preserve">Listas oficiales públicas</t>
  </si>
  <si>
    <t xml:space="preserve">Property Appraisers (3 condados)</t>
  </si>
  <si>
    <t xml:space="preserve">Endpoints públicos</t>
  </si>
  <si>
    <t xml:space="preserve">BatchSkipTracing</t>
  </si>
  <si>
    <t xml:space="preserve">Pay-per-use</t>
  </si>
  <si>
    <t xml:space="preserve">$0.10–0.25 por match</t>
  </si>
  <si>
    <t xml:space="preserve">GitHub Actions (cron)</t>
  </si>
  <si>
    <t xml:space="preserve">Tier free para repo privado</t>
  </si>
  <si>
    <t xml:space="preserve">Google Sheets API</t>
  </si>
  <si>
    <t xml:space="preserve">Bajo el límite gratuito</t>
  </si>
  <si>
    <t xml:space="preserve">Email digest (SendGrid free)</t>
  </si>
  <si>
    <t xml:space="preserve">100 emails/día gratis</t>
  </si>
  <si>
    <t xml:space="preserve">Buffer / contingencia</t>
  </si>
  <si>
    <t xml:space="preserve">Buffer</t>
  </si>
  <si>
    <t xml:space="preserve">Para imprevistos en Fase 1</t>
  </si>
  <si>
    <t xml:space="preserve">TOTAL ESTIMADO MENSUAL</t>
  </si>
  <si>
    <t xml:space="preserve">Recurring</t>
  </si>
  <si>
    <t xml:space="preserve">Encaja en budget objetivo del cliente</t>
  </si>
  <si>
    <t xml:space="preserve">Estimado anual:</t>
  </si>
  <si>
    <t xml:space="preserve">Operación 12 meses</t>
  </si>
  <si>
    <t xml:space="preserve">COSTOS DE SETUP (one-time)</t>
  </si>
  <si>
    <t xml:space="preserve">Costo ($)</t>
  </si>
  <si>
    <t xml:space="preserve">Notarización Broward Clerk API agreement</t>
  </si>
  <si>
    <t xml:space="preserve">One-time</t>
  </si>
  <si>
    <t xml:space="preserve">Notario público local</t>
  </si>
  <si>
    <t xml:space="preserve">Setup Miami-Dade Commercial Data account</t>
  </si>
  <si>
    <t xml:space="preserve">Registro gratuito</t>
  </si>
  <si>
    <t xml:space="preserve">Compra de dominio para email digest (opcional)</t>
  </si>
  <si>
    <t xml:space="preserve">Si querés sender@dominio.com</t>
  </si>
  <si>
    <t xml:space="preserve">Desarrollo (interno por Samuel)</t>
  </si>
  <si>
    <t xml:space="preserve">Time</t>
  </si>
  <si>
    <t xml:space="preserve">5 semanas estimadas</t>
  </si>
  <si>
    <t xml:space="preserve">TOTAL SETUP</t>
  </si>
  <si>
    <t xml:space="preserve">Plan de Implementación – 5 Semanas hasta Producción</t>
  </si>
  <si>
    <t xml:space="preserve">Fase / Tarea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</si>
  <si>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</si>
  <si>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</si>
  <si>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</si>
  <si>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</si>
  <si>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</si>
  <si>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S6+</t>
  </si>
  <si>
    <t xml:space="preserve">Entregable</t>
  </si>
  <si>
    <t xml:space="preserve">Fase 0: Registros administrativos</t>
  </si>
  <si>
    <t xml:space="preserve">Cuentas listas</t>
  </si>
  <si>
    <t xml:space="preserve">  • Registro Miami-Dade Commercial Data</t>
  </si>
  <si>
    <t xml:space="preserve">API key</t>
  </si>
  <si>
    <t xml:space="preserve">  • Registro notariado Broward Clerk API</t>
  </si>
  <si>
    <t xml:space="preserve">  • Cuenta BatchSkipTracing</t>
  </si>
  <si>
    <t xml:space="preserve">Fase 1: MVP Miami-Dade</t>
  </si>
  <si>
    <t xml:space="preserve">Primer Sheet diario</t>
  </si>
  <si>
    <t xml:space="preserve">  • Collector Miami-Dade Foreclosure + Lis Pendens</t>
  </si>
  <si>
    <t xml:space="preserve">Script + tests</t>
  </si>
  <si>
    <t xml:space="preserve">  • Property Appraiser enrichment</t>
  </si>
  <si>
    <t xml:space="preserve">DOR Use Code filter</t>
  </si>
  <si>
    <t xml:space="preserve">  • Filter engine + dedup</t>
  </si>
  <si>
    <t xml:space="preserve">YAML rules</t>
  </si>
  <si>
    <t xml:space="preserve">  • BatchSkipTracing integration</t>
  </si>
  <si>
    <t xml:space="preserve">Owner phone/email</t>
  </si>
  <si>
    <t xml:space="preserve">  • Google Sheet writer + cron</t>
  </si>
  <si>
    <t xml:space="preserve">Sheet auto-actualizado</t>
  </si>
  <si>
    <t xml:space="preserve">Fase 2: Broward + Palm Beach</t>
  </si>
  <si>
    <t xml:space="preserve">Tri-county cobertura</t>
  </si>
  <si>
    <t xml:space="preserve">  • Broward Clerk adapter</t>
  </si>
  <si>
    <t xml:space="preserve">Mismas categorías</t>
  </si>
  <si>
    <t xml:space="preserve">  • Palm Beach eCaseView adapter</t>
  </si>
  <si>
    <t xml:space="preserve">Fase 3: Probate + Tax + Liens</t>
  </si>
  <si>
    <t xml:space="preserve">5 categorías activas</t>
  </si>
  <si>
    <t xml:space="preserve">  • Probate collectors (3 condados)</t>
  </si>
  <si>
    <t xml:space="preserve">Probate cases ingresan</t>
  </si>
  <si>
    <t xml:space="preserve">  • Tax delinquent (3 Tax Collectors)</t>
  </si>
  <si>
    <t xml:space="preserve">Listas auto-descargan</t>
  </si>
  <si>
    <t xml:space="preserve">  • Liens search</t>
  </si>
  <si>
    <t xml:space="preserve">Liens cruzados</t>
  </si>
  <si>
    <t xml:space="preserve">Fase 4: CRM + Polish</t>
  </si>
  <si>
    <t xml:space="preserve">Producción ready</t>
  </si>
  <si>
    <t xml:space="preserve">  • Webhook a CRM</t>
  </si>
  <si>
    <t xml:space="preserve">Push automático</t>
  </si>
  <si>
    <t xml:space="preserve">  • Email digest 7 AM</t>
  </si>
  <si>
    <t xml:space="preserve">Cliente recibe email</t>
  </si>
  <si>
    <t xml:space="preserve">  • Alertas + monitoring</t>
  </si>
  <si>
    <t xml:space="preserve">Slack alerts</t>
  </si>
  <si>
    <t xml:space="preserve">  • Documentación + handoff</t>
  </si>
  <si>
    <t xml:space="preserve">README + runbook</t>
  </si>
  <si>
    <t xml:space="preserve">Fase 5 (opcional): Dashboard</t>
  </si>
  <si>
    <t xml:space="preserve">Solo si lo piden</t>
  </si>
  <si>
    <t xml:space="preserve">Leyenda:</t>
  </si>
  <si>
    <t xml:space="preserve">Trabajo activo</t>
  </si>
  <si>
    <t xml:space="preserve">Análisis de ROI</t>
  </si>
  <si>
    <t xml:space="preserve">Edita las celdas en azul para correr escenarios</t>
  </si>
  <si>
    <t xml:space="preserve">INPUTS (editables)</t>
  </si>
  <si>
    <t xml:space="preserve">Minutos ahorrados por día</t>
  </si>
  <si>
    <t xml:space="preserve">min/día</t>
  </si>
  <si>
    <t xml:space="preserve">Días hábiles por mes</t>
  </si>
  <si>
    <t xml:space="preserve">días</t>
  </si>
  <si>
    <t xml:space="preserve">Costo-oportunidad por hora</t>
  </si>
  <si>
    <t xml:space="preserve">$/hr</t>
  </si>
  <si>
    <t xml:space="preserve">Costo mensual de la plataforma</t>
  </si>
  <si>
    <t xml:space="preserve">$/mes</t>
  </si>
  <si>
    <t xml:space="preserve">Deals extra al año (gracias a llegar antes)</t>
  </si>
  <si>
    <t xml:space="preserve">deals/año</t>
  </si>
  <si>
    <t xml:space="preserve">Comisión promedio por deal</t>
  </si>
  <si>
    <t xml:space="preserve">$/deal</t>
  </si>
  <si>
    <t xml:space="preserve">RESULTADOS (calculados)</t>
  </si>
  <si>
    <t xml:space="preserve">Horas ahorradas / mes</t>
  </si>
  <si>
    <t xml:space="preserve">horas</t>
  </si>
  <si>
    <t xml:space="preserve">Valor del tiempo ahorrado / mes</t>
  </si>
  <si>
    <t xml:space="preserve">$</t>
  </si>
  <si>
    <t xml:space="preserve">Valor del tiempo / año</t>
  </si>
  <si>
    <t xml:space="preserve">Costo de plataforma / año</t>
  </si>
  <si>
    <t xml:space="preserve">Ahorro neto en tiempo / año</t>
  </si>
  <si>
    <t xml:space="preserve">Valor de deals extra / año</t>
  </si>
  <si>
    <t xml:space="preserve">Beneficio total estimado / año</t>
  </si>
  <si>
    <t xml:space="preserve">ROI (%) sobre costo de plataforma</t>
  </si>
  <si>
    <t xml:space="preserve">%</t>
  </si>
  <si>
    <t xml:space="preserve">NOTA: El payback típico es &lt; 2 meses incluso sin contar deals extra. La plataforma se justifica solo con el tiempo ahorrado.</t>
  </si>
  <si>
    <t xml:space="preserve">Convenciones de color:</t>
  </si>
  <si>
    <t xml:space="preserve">  Azul = inputs editables</t>
  </si>
  <si>
    <t xml:space="preserve">  Negro = fórmulas</t>
  </si>
  <si>
    <t xml:space="preserve">Fuentes de Datos – Detalle Técnico</t>
  </si>
  <si>
    <t xml:space="preserve">Fuente</t>
  </si>
  <si>
    <t xml:space="preserve">Acceso</t>
  </si>
  <si>
    <t xml:space="preserve">Costo</t>
  </si>
  <si>
    <t xml:space="preserve">Datos disponibles</t>
  </si>
  <si>
    <t xml:space="preserve">URL</t>
  </si>
  <si>
    <t xml:space="preserve">Miami-Dade Clerk of Court</t>
  </si>
  <si>
    <t xml:space="preserve">API + Bulk</t>
  </si>
  <si>
    <t xml:space="preserve">Commercial Data Services</t>
  </si>
  <si>
    <t xml:space="preserve">$110/mo bulk · $0.20/req API</t>
  </si>
  <si>
    <t xml:space="preserve">Probate, Civil, Family, Foreclosure, Lis Pendens</t>
  </si>
  <si>
    <t xml:space="preserve">https://www2.miamidadeclerk.gov/developers</t>
  </si>
  <si>
    <t xml:space="preserve">Broward Clerk of Court</t>
  </si>
  <si>
    <t xml:space="preserve">API premium</t>
  </si>
  <si>
    <t xml:space="preserve">Registro notariado</t>
  </si>
  <si>
    <t xml:space="preserve">Tarifa por uso</t>
  </si>
  <si>
    <t xml:space="preserve">Civil, Family, Probate, Felony, Traffic, Misdemeanor</t>
  </si>
  <si>
    <t xml:space="preserve">https://api.browardclerk.org/</t>
  </si>
  <si>
    <t xml:space="preserve">Palm Beach Clerk of Court</t>
  </si>
  <si>
    <t xml:space="preserve">Web + reportes</t>
  </si>
  <si>
    <t xml:space="preserve">eCaseView público</t>
  </si>
  <si>
    <t xml:space="preserve">Reportes pagos</t>
  </si>
  <si>
    <t xml:space="preserve">Civil, Foreclosure auctions, Lis Pendens</t>
  </si>
  <si>
    <t xml:space="preserve">https://www.mypalmbeachclerk.com/</t>
  </si>
  <si>
    <t xml:space="preserve">Miami-Dade Tax Collector</t>
  </si>
  <si>
    <t xml:space="preserve">Lista pública</t>
  </si>
  <si>
    <t xml:space="preserve">Descarga directa</t>
  </si>
  <si>
    <t xml:space="preserve">Tax delinquent reports</t>
  </si>
  <si>
    <t xml:space="preserve">https://mdctaxcollector.gov/</t>
  </si>
  <si>
    <t xml:space="preserve">Broward Tax Collector</t>
  </si>
  <si>
    <t xml:space="preserve">https://browardtax.org/</t>
  </si>
  <si>
    <t xml:space="preserve">Palm Beach Tax Collector</t>
  </si>
  <si>
    <t xml:space="preserve">https://www.pbctax.gov/</t>
  </si>
  <si>
    <t xml:space="preserve">Miami-Dade Property Appraiser</t>
  </si>
  <si>
    <t xml:space="preserve">Sin auth</t>
  </si>
  <si>
    <t xml:space="preserve">DOR Use Code, units, beds, owner of record</t>
  </si>
  <si>
    <t xml:space="preserve">https://www.miamidade.gov/Apps/PA/PAOnlineTools</t>
  </si>
  <si>
    <t xml:space="preserve">Broward Property Appraiser (BCPA)</t>
  </si>
  <si>
    <t xml:space="preserve">https://web.bcpa.net/</t>
  </si>
  <si>
    <t xml:space="preserve">Palm Beach Property Appraiser (PAPA)</t>
  </si>
  <si>
    <t xml:space="preserve">https://www.pbcpao.gov/</t>
  </si>
  <si>
    <t xml:space="preserve">BatchSkipTracing API</t>
  </si>
  <si>
    <t xml:space="preserve">API comercial</t>
  </si>
  <si>
    <t xml:space="preserve">$0.10–0.25 / match</t>
  </si>
  <si>
    <t xml:space="preserve">Owner phone, email, relatives</t>
  </si>
  <si>
    <t xml:space="preserve">https://batchdata.io/skip-tracing</t>
  </si>
  <si>
    <t xml:space="preserve">ATTOM Data (alternativa)</t>
  </si>
  <si>
    <t xml:space="preserve">Desde $299/mo</t>
  </si>
  <si>
    <t xml:space="preserve">Foreclosures, mortgages, equity (alternativa Zillow)</t>
  </si>
  <si>
    <t xml:space="preserve">https://www.attomdata.com/</t>
  </si>
  <si>
    <t xml:space="preserve">Zillow Foreclosures (NO recomendado)</t>
  </si>
  <si>
    <t xml:space="preserve">Web scraping</t>
  </si>
  <si>
    <t xml:space="preserve">Viola ToS</t>
  </si>
  <si>
    <t xml:space="preserve">N/A</t>
  </si>
  <si>
    <t xml:space="preserve">Listings (data ya cubierta por Clerks)</t>
  </si>
  <si>
    <t xml:space="preserve">https://www.zillow.com/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</si>
</sst>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"/>
    <numFmt numFmtId="167" formatCode="0.0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8FB"/>
        <bgColor rgb="FFEAF1F8"/>
      </patternFill>
    </fill>
    <fill>
      <patternFill patternType="solid">
        <fgColor rgb="FFFFFFFF"/>
        <bgColor rgb="FFF4F8FB"/>
      </patternFill>
    </fill>
    <fill>
      <patternFill patternType="solid">
        <fgColor rgb="FFD5E8F0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B7C7DA"/>
        <bgColor rgb="FFBFCEDC"/>
      </patternFill>
    </fill>
    <fill>
      <patternFill patternType="solid">
        <fgColor rgb="FF70AD47"/>
        <bgColor rgb="FF548235"/>
      </patternFill>
    </fill>
    <fill>
      <patternFill patternType="solid">
        <fgColor rgb="FF548235"/>
        <bgColor rgb="FF595959"/>
      </patternFill>
    </fill>
    <fill>
      <patternFill patternType="solid">
        <fgColor rgb="FF9DC3E6"/>
        <bgColor rgb="FFACB9CA"/>
      </patternFill>
    </fill>
    <fill>
      <patternFill patternType="solid">
        <fgColor rgb="FF8FAADC"/>
        <bgColor rgb="FFACB9CA"/>
      </patternFill>
    </fill>
    <fill>
      <patternFill patternType="solid">
        <fgColor rgb="FFACB9CA"/>
        <bgColor rgb="FFB7C7DA"/>
      </patternFill>
    </fill>
    <fill>
      <patternFill patternType="solid">
        <fgColor rgb="FFBDD7EE"/>
        <bgColor rgb="FFBFCEDC"/>
      </patternFill>
    </fill>
    <fill>
      <patternFill patternType="solid">
        <fgColor rgb="FFDEEBF7"/>
        <bgColor rgb="FFD5E8F0"/>
      </patternFill>
    </fill>
    <fill>
      <patternFill patternType="solid">
        <fgColor rgb="FFFFF2CC"/>
        <bgColor rgb="FFFFF8E0"/>
      </patternFill>
    </fill>
    <fill>
      <patternFill patternType="solid">
        <fgColor rgb="FFEAF1F8"/>
        <bgColor rgb="FFF4F8FB"/>
      </patternFill>
    </fill>
    <fill>
      <patternFill patternType="solid">
        <fgColor rgb="FFFFF8E0"/>
        <bgColor rgb="FFFFF2CC"/>
      </patternFill>
    </fill>
    <fill>
      <patternFill patternType="solid">
        <fgColor rgb="FFFFE4E4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EDC"/>
      </left>
      <right style="thin">
        <color rgb="FFBFCEDC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CEDC"/>
      </left>
      <right style="thin">
        <color rgb="FFBFCEDC"/>
      </right>
      <top style="thin">
        <color rgb="FFBFCEDC"/>
      </top>
      <bottom style="thin">
        <color rgb="FFBFCEDC"/>
      </bottom>
      <diagonal/>
    </border>
    <border diagonalUp="false" diagonalDown="false">
      <left style="thin">
        <color rgb="FFBFCEDC"/>
      </left>
      <right/>
      <top style="thin">
        <color rgb="FFBFCEDC"/>
      </top>
      <bottom style="thin">
        <color rgb="FFBFC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C7DA"/>
      <rgbColor rgb="FF808080"/>
      <rgbColor rgb="FF8FAADC"/>
      <rgbColor rgb="FF993366"/>
      <rgbColor rgb="FFFFF8E0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EAF1F8"/>
      <rgbColor rgb="FFFFF2CC"/>
      <rgbColor rgb="FF9DC3E6"/>
      <rgbColor rgb="FFF4F8FB"/>
      <rgbColor rgb="FFBFCEDC"/>
      <rgbColor rgb="FFFFE4E4"/>
      <rgbColor rgb="FF2E75B6"/>
      <rgbColor rgb="FF33CCCC"/>
      <rgbColor rgb="FF99CC00"/>
      <rgbColor rgb="FFFFCC00"/>
      <rgbColor rgb="FFFF9900"/>
      <rgbColor rgb="FFFF6600"/>
      <rgbColor rgb="FF595959"/>
      <rgbColor rgb="FFACB9CA"/>
      <rgbColor rgb="FF003366"/>
      <rgbColor rgb="FF70AD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60</v>
      </c>
      <c r="C5" s="5" t="n">
        <v>110</v>
      </c>
      <c r="D5" s="6" t="s">
        <v>8</v>
      </c>
      <c r="E5" s="7" t="s">
        <v>9</v>
      </c>
    </row>
    <row r="6" customFormat="false" ht="15" hidden="false" customHeight="false" outlineLevel="0" collapsed="false">
      <c r="A6" s="8" t="s">
        <v>10</v>
      </c>
      <c r="B6" s="9" t="n">
        <v>30</v>
      </c>
      <c r="C6" s="9" t="n">
        <v>60</v>
      </c>
      <c r="D6" s="10" t="s">
        <v>8</v>
      </c>
      <c r="E6" s="11" t="s">
        <v>11</v>
      </c>
    </row>
    <row r="7" customFormat="false" ht="15" hidden="false" customHeight="false" outlineLevel="0" collapsed="false">
      <c r="A7" s="4" t="s">
        <v>12</v>
      </c>
      <c r="B7" s="5" t="n">
        <v>10</v>
      </c>
      <c r="C7" s="5" t="n">
        <v>20</v>
      </c>
      <c r="D7" s="6" t="s">
        <v>8</v>
      </c>
      <c r="E7" s="7" t="s">
        <v>13</v>
      </c>
    </row>
    <row r="8" customFormat="false" ht="15" hidden="false" customHeight="false" outlineLevel="0" collapsed="false">
      <c r="A8" s="8" t="s">
        <v>14</v>
      </c>
      <c r="B8" s="9" t="n">
        <v>0</v>
      </c>
      <c r="C8" s="9" t="n">
        <v>0</v>
      </c>
      <c r="D8" s="10" t="s">
        <v>15</v>
      </c>
      <c r="E8" s="11" t="s">
        <v>16</v>
      </c>
    </row>
    <row r="9" customFormat="false" ht="15" hidden="false" customHeight="false" outlineLevel="0" collapsed="false">
      <c r="A9" s="4" t="s">
        <v>17</v>
      </c>
      <c r="B9" s="5" t="n">
        <v>0</v>
      </c>
      <c r="C9" s="5" t="n">
        <v>0</v>
      </c>
      <c r="D9" s="6" t="s">
        <v>15</v>
      </c>
      <c r="E9" s="7" t="s">
        <v>18</v>
      </c>
    </row>
    <row r="10" customFormat="false" ht="15" hidden="false" customHeight="false" outlineLevel="0" collapsed="false">
      <c r="A10" s="8" t="s">
        <v>19</v>
      </c>
      <c r="B10" s="9" t="n">
        <v>30</v>
      </c>
      <c r="C10" s="9" t="n">
        <v>100</v>
      </c>
      <c r="D10" s="10" t="s">
        <v>20</v>
      </c>
      <c r="E10" s="11" t="s">
        <v>21</v>
      </c>
    </row>
    <row r="11" customFormat="false" ht="15" hidden="false" customHeight="false" outlineLevel="0" collapsed="false">
      <c r="A11" s="4" t="s">
        <v>22</v>
      </c>
      <c r="B11" s="5" t="n">
        <v>0</v>
      </c>
      <c r="C11" s="5" t="n">
        <v>0</v>
      </c>
      <c r="D11" s="6" t="s">
        <v>15</v>
      </c>
      <c r="E11" s="7" t="s">
        <v>23</v>
      </c>
    </row>
    <row r="12" customFormat="false" ht="15" hidden="false" customHeight="false" outlineLevel="0" collapsed="false">
      <c r="A12" s="8" t="s">
        <v>24</v>
      </c>
      <c r="B12" s="9" t="n">
        <v>0</v>
      </c>
      <c r="C12" s="9" t="n">
        <v>0</v>
      </c>
      <c r="D12" s="10" t="s">
        <v>15</v>
      </c>
      <c r="E12" s="11" t="s">
        <v>25</v>
      </c>
    </row>
    <row r="13" customFormat="false" ht="15" hidden="false" customHeight="false" outlineLevel="0" collapsed="false">
      <c r="A13" s="4" t="s">
        <v>26</v>
      </c>
      <c r="B13" s="5" t="n">
        <v>0</v>
      </c>
      <c r="C13" s="5" t="n">
        <v>0</v>
      </c>
      <c r="D13" s="6" t="s">
        <v>15</v>
      </c>
      <c r="E13" s="7" t="s">
        <v>27</v>
      </c>
    </row>
    <row r="14" customFormat="false" ht="15" hidden="false" customHeight="false" outlineLevel="0" collapsed="false">
      <c r="A14" s="8" t="s">
        <v>28</v>
      </c>
      <c r="B14" s="9" t="n">
        <v>50</v>
      </c>
      <c r="C14" s="9" t="n">
        <v>0</v>
      </c>
      <c r="D14" s="10" t="s">
        <v>29</v>
      </c>
      <c r="E14" s="11" t="s">
        <v>30</v>
      </c>
    </row>
    <row r="15" customFormat="false" ht="15" hidden="false" customHeight="false" outlineLevel="0" collapsed="false">
      <c r="A15" s="12" t="s">
        <v>31</v>
      </c>
      <c r="B15" s="13" t="n">
        <f aca="false">SUM(B5:B14)</f>
        <v>180</v>
      </c>
      <c r="C15" s="13" t="n">
        <f aca="false">SUM(C5:C14)</f>
        <v>290</v>
      </c>
      <c r="D15" s="12" t="s">
        <v>32</v>
      </c>
      <c r="E15" s="12" t="s">
        <v>33</v>
      </c>
    </row>
    <row r="17" customFormat="false" ht="15" hidden="false" customHeight="false" outlineLevel="0" collapsed="false">
      <c r="A17" s="14" t="s">
        <v>34</v>
      </c>
      <c r="B17" s="15" t="n">
        <f aca="false">B15*12</f>
        <v>2160</v>
      </c>
      <c r="C17" s="15" t="n">
        <f aca="false">C15*12</f>
        <v>3480</v>
      </c>
      <c r="D17" s="16" t="s">
        <v>35</v>
      </c>
    </row>
    <row r="20" customFormat="false" ht="21.75" hidden="false" customHeight="true" outlineLevel="0" collapsed="false">
      <c r="A20" s="17" t="s">
        <v>36</v>
      </c>
      <c r="B20" s="17"/>
      <c r="C20" s="17"/>
      <c r="D20" s="17"/>
      <c r="E20" s="17"/>
    </row>
    <row r="21" customFormat="false" ht="15" hidden="false" customHeight="false" outlineLevel="0" collapsed="false">
      <c r="A21" s="18" t="s">
        <v>2</v>
      </c>
      <c r="B21" s="18" t="s">
        <v>37</v>
      </c>
      <c r="C21" s="18" t="s">
        <v>5</v>
      </c>
      <c r="D21" s="18"/>
      <c r="E21" s="18" t="s">
        <v>6</v>
      </c>
    </row>
    <row r="22" customFormat="false" ht="15" hidden="false" customHeight="false" outlineLevel="0" collapsed="false">
      <c r="A22" s="4" t="s">
        <v>38</v>
      </c>
      <c r="B22" s="5" t="n">
        <v>25</v>
      </c>
      <c r="C22" s="6" t="s">
        <v>39</v>
      </c>
      <c r="D22" s="19"/>
      <c r="E22" s="7" t="s">
        <v>40</v>
      </c>
    </row>
    <row r="23" customFormat="false" ht="15" hidden="false" customHeight="false" outlineLevel="0" collapsed="false">
      <c r="A23" s="8" t="s">
        <v>41</v>
      </c>
      <c r="B23" s="9" t="n">
        <v>0</v>
      </c>
      <c r="C23" s="10" t="s">
        <v>39</v>
      </c>
      <c r="D23" s="20"/>
      <c r="E23" s="11" t="s">
        <v>42</v>
      </c>
    </row>
    <row r="24" customFormat="false" ht="15" hidden="false" customHeight="false" outlineLevel="0" collapsed="false">
      <c r="A24" s="4" t="s">
        <v>43</v>
      </c>
      <c r="B24" s="5" t="n">
        <v>12</v>
      </c>
      <c r="C24" s="6" t="s">
        <v>39</v>
      </c>
      <c r="D24" s="19"/>
      <c r="E24" s="7" t="s">
        <v>44</v>
      </c>
    </row>
    <row r="25" customFormat="false" ht="15" hidden="false" customHeight="false" outlineLevel="0" collapsed="false">
      <c r="A25" s="8" t="s">
        <v>45</v>
      </c>
      <c r="B25" s="9" t="n">
        <v>0</v>
      </c>
      <c r="C25" s="10" t="s">
        <v>46</v>
      </c>
      <c r="D25" s="20"/>
      <c r="E25" s="11" t="s">
        <v>47</v>
      </c>
    </row>
    <row r="26" customFormat="false" ht="15" hidden="false" customHeight="false" outlineLevel="0" collapsed="false">
      <c r="A26" s="12" t="s">
        <v>48</v>
      </c>
      <c r="B26" s="13" t="n">
        <f aca="false">SUM(B22:B25)</f>
        <v>37</v>
      </c>
      <c r="C26" s="12"/>
      <c r="D26" s="12"/>
      <c r="E26" s="12"/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6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A3" s="21" t="s">
        <v>50</v>
      </c>
      <c r="B3" s="18" t="s">
        <v>51</v>
      </c>
      <c r="C3" s="18" t="s">
        <v>52</v>
      </c>
      <c r="D3" s="18" t="s">
        <v>53</v>
      </c>
      <c r="E3" s="18" t="s">
        <v>54</v>
      </c>
      <c r="F3" s="18" t="s">
        <v>55</v>
      </c>
      <c r="G3" s="18" t="s">
        <v>56</v>
      </c>
      <c r="H3" s="21" t="s">
        <v>57</v>
      </c>
    </row>
    <row r="4" customFormat="false" ht="15" hidden="false" customHeight="false" outlineLevel="0" collapsed="false">
      <c r="A4" s="22" t="s">
        <v>58</v>
      </c>
      <c r="B4" s="23"/>
      <c r="C4" s="24"/>
      <c r="D4" s="23"/>
      <c r="E4" s="23"/>
      <c r="F4" s="23"/>
      <c r="G4" s="23"/>
      <c r="H4" s="22" t="s">
        <v>59</v>
      </c>
    </row>
    <row r="5" customFormat="false" ht="15" hidden="false" customHeight="false" outlineLevel="0" collapsed="false">
      <c r="A5" s="11" t="s">
        <v>60</v>
      </c>
      <c r="B5" s="25"/>
      <c r="C5" s="26"/>
      <c r="D5" s="26"/>
      <c r="E5" s="26"/>
      <c r="F5" s="26"/>
      <c r="G5" s="26"/>
      <c r="H5" s="10" t="s">
        <v>61</v>
      </c>
    </row>
    <row r="6" customFormat="false" ht="15" hidden="false" customHeight="false" outlineLevel="0" collapsed="false">
      <c r="A6" s="11" t="s">
        <v>62</v>
      </c>
      <c r="B6" s="25"/>
      <c r="C6" s="25"/>
      <c r="D6" s="26"/>
      <c r="E6" s="26"/>
      <c r="F6" s="26"/>
      <c r="G6" s="26"/>
      <c r="H6" s="10" t="s">
        <v>61</v>
      </c>
    </row>
    <row r="7" customFormat="false" ht="15" hidden="false" customHeight="false" outlineLevel="0" collapsed="false">
      <c r="A7" s="11" t="s">
        <v>63</v>
      </c>
      <c r="B7" s="25"/>
      <c r="C7" s="26"/>
      <c r="D7" s="26"/>
      <c r="E7" s="26"/>
      <c r="F7" s="26"/>
      <c r="G7" s="26"/>
      <c r="H7" s="10" t="s">
        <v>61</v>
      </c>
    </row>
    <row r="8" customFormat="false" ht="15" hidden="false" customHeight="false" outlineLevel="0" collapsed="false">
      <c r="A8" s="27" t="s">
        <v>64</v>
      </c>
      <c r="B8" s="28"/>
      <c r="C8" s="24"/>
      <c r="D8" s="24"/>
      <c r="E8" s="28"/>
      <c r="F8" s="28"/>
      <c r="G8" s="28"/>
      <c r="H8" s="27" t="s">
        <v>65</v>
      </c>
    </row>
    <row r="9" customFormat="false" ht="15" hidden="false" customHeight="false" outlineLevel="0" collapsed="false">
      <c r="A9" s="11" t="s">
        <v>66</v>
      </c>
      <c r="B9" s="26"/>
      <c r="C9" s="25"/>
      <c r="D9" s="26"/>
      <c r="E9" s="26"/>
      <c r="F9" s="26"/>
      <c r="G9" s="26"/>
      <c r="H9" s="10" t="s">
        <v>67</v>
      </c>
    </row>
    <row r="10" customFormat="false" ht="15" hidden="false" customHeight="false" outlineLevel="0" collapsed="false">
      <c r="A10" s="11" t="s">
        <v>68</v>
      </c>
      <c r="B10" s="26"/>
      <c r="C10" s="25"/>
      <c r="D10" s="26"/>
      <c r="E10" s="26"/>
      <c r="F10" s="26"/>
      <c r="G10" s="26"/>
      <c r="H10" s="10" t="s">
        <v>69</v>
      </c>
    </row>
    <row r="11" customFormat="false" ht="15" hidden="false" customHeight="false" outlineLevel="0" collapsed="false">
      <c r="A11" s="11" t="s">
        <v>70</v>
      </c>
      <c r="B11" s="26"/>
      <c r="C11" s="26"/>
      <c r="D11" s="25"/>
      <c r="E11" s="26"/>
      <c r="F11" s="26"/>
      <c r="G11" s="26"/>
      <c r="H11" s="10" t="s">
        <v>71</v>
      </c>
    </row>
    <row r="12" customFormat="false" ht="15" hidden="false" customHeight="false" outlineLevel="0" collapsed="false">
      <c r="A12" s="11" t="s">
        <v>72</v>
      </c>
      <c r="B12" s="26"/>
      <c r="C12" s="26"/>
      <c r="D12" s="25"/>
      <c r="E12" s="26"/>
      <c r="F12" s="26"/>
      <c r="G12" s="26"/>
      <c r="H12" s="10" t="s">
        <v>73</v>
      </c>
    </row>
    <row r="13" customFormat="false" ht="15" hidden="false" customHeight="false" outlineLevel="0" collapsed="false">
      <c r="A13" s="11" t="s">
        <v>74</v>
      </c>
      <c r="B13" s="26"/>
      <c r="C13" s="26"/>
      <c r="D13" s="25"/>
      <c r="E13" s="26"/>
      <c r="F13" s="26"/>
      <c r="G13" s="26"/>
      <c r="H13" s="10" t="s">
        <v>75</v>
      </c>
    </row>
    <row r="14" customFormat="false" ht="15" hidden="false" customHeight="false" outlineLevel="0" collapsed="false">
      <c r="A14" s="29" t="s">
        <v>76</v>
      </c>
      <c r="B14" s="30"/>
      <c r="C14" s="30"/>
      <c r="D14" s="30"/>
      <c r="E14" s="24"/>
      <c r="F14" s="30"/>
      <c r="G14" s="30"/>
      <c r="H14" s="29" t="s">
        <v>77</v>
      </c>
    </row>
    <row r="15" customFormat="false" ht="15" hidden="false" customHeight="false" outlineLevel="0" collapsed="false">
      <c r="A15" s="11" t="s">
        <v>78</v>
      </c>
      <c r="B15" s="26"/>
      <c r="C15" s="26"/>
      <c r="D15" s="26"/>
      <c r="E15" s="25"/>
      <c r="F15" s="26"/>
      <c r="G15" s="26"/>
      <c r="H15" s="10" t="s">
        <v>79</v>
      </c>
    </row>
    <row r="16" customFormat="false" ht="15" hidden="false" customHeight="false" outlineLevel="0" collapsed="false">
      <c r="A16" s="11" t="s">
        <v>80</v>
      </c>
      <c r="B16" s="26"/>
      <c r="C16" s="26"/>
      <c r="D16" s="26"/>
      <c r="E16" s="25"/>
      <c r="F16" s="26"/>
      <c r="G16" s="26"/>
      <c r="H16" s="10" t="s">
        <v>79</v>
      </c>
    </row>
    <row r="17" customFormat="false" ht="15" hidden="false" customHeight="false" outlineLevel="0" collapsed="false">
      <c r="A17" s="31" t="s">
        <v>81</v>
      </c>
      <c r="B17" s="32"/>
      <c r="C17" s="32"/>
      <c r="D17" s="32"/>
      <c r="E17" s="32"/>
      <c r="F17" s="24"/>
      <c r="G17" s="32"/>
      <c r="H17" s="31" t="s">
        <v>82</v>
      </c>
    </row>
    <row r="18" customFormat="false" ht="15" hidden="false" customHeight="false" outlineLevel="0" collapsed="false">
      <c r="A18" s="11" t="s">
        <v>83</v>
      </c>
      <c r="B18" s="26"/>
      <c r="C18" s="26"/>
      <c r="D18" s="26"/>
      <c r="E18" s="26"/>
      <c r="F18" s="25"/>
      <c r="G18" s="26"/>
      <c r="H18" s="10" t="s">
        <v>84</v>
      </c>
    </row>
    <row r="19" customFormat="false" ht="15" hidden="false" customHeight="false" outlineLevel="0" collapsed="false">
      <c r="A19" s="11" t="s">
        <v>85</v>
      </c>
      <c r="B19" s="26"/>
      <c r="C19" s="26"/>
      <c r="D19" s="26"/>
      <c r="E19" s="26"/>
      <c r="F19" s="25"/>
      <c r="G19" s="26"/>
      <c r="H19" s="10" t="s">
        <v>86</v>
      </c>
    </row>
    <row r="20" customFormat="false" ht="15" hidden="false" customHeight="false" outlineLevel="0" collapsed="false">
      <c r="A20" s="11" t="s">
        <v>87</v>
      </c>
      <c r="B20" s="26"/>
      <c r="C20" s="26"/>
      <c r="D20" s="26"/>
      <c r="E20" s="26"/>
      <c r="F20" s="25"/>
      <c r="G20" s="26"/>
      <c r="H20" s="10" t="s">
        <v>88</v>
      </c>
    </row>
    <row r="21" customFormat="false" ht="15" hidden="false" customHeight="false" outlineLevel="0" collapsed="false">
      <c r="A21" s="33" t="s">
        <v>89</v>
      </c>
      <c r="B21" s="34"/>
      <c r="C21" s="34"/>
      <c r="D21" s="34"/>
      <c r="E21" s="34"/>
      <c r="F21" s="24"/>
      <c r="G21" s="34"/>
      <c r="H21" s="33" t="s">
        <v>90</v>
      </c>
    </row>
    <row r="22" customFormat="false" ht="15" hidden="false" customHeight="false" outlineLevel="0" collapsed="false">
      <c r="A22" s="11" t="s">
        <v>91</v>
      </c>
      <c r="B22" s="26"/>
      <c r="C22" s="26"/>
      <c r="D22" s="26"/>
      <c r="E22" s="26"/>
      <c r="F22" s="25"/>
      <c r="G22" s="26"/>
      <c r="H22" s="10" t="s">
        <v>92</v>
      </c>
    </row>
    <row r="23" customFormat="false" ht="15" hidden="false" customHeight="false" outlineLevel="0" collapsed="false">
      <c r="A23" s="11" t="s">
        <v>93</v>
      </c>
      <c r="B23" s="26"/>
      <c r="C23" s="26"/>
      <c r="D23" s="26"/>
      <c r="E23" s="26"/>
      <c r="F23" s="25"/>
      <c r="G23" s="26"/>
      <c r="H23" s="10" t="s">
        <v>94</v>
      </c>
    </row>
    <row r="24" customFormat="false" ht="15" hidden="false" customHeight="false" outlineLevel="0" collapsed="false">
      <c r="A24" s="11" t="s">
        <v>95</v>
      </c>
      <c r="B24" s="26"/>
      <c r="C24" s="26"/>
      <c r="D24" s="26"/>
      <c r="E24" s="26"/>
      <c r="F24" s="25"/>
      <c r="G24" s="26"/>
      <c r="H24" s="10" t="s">
        <v>96</v>
      </c>
    </row>
    <row r="25" customFormat="false" ht="15" hidden="false" customHeight="false" outlineLevel="0" collapsed="false">
      <c r="A25" s="11" t="s">
        <v>97</v>
      </c>
      <c r="B25" s="26"/>
      <c r="C25" s="26"/>
      <c r="D25" s="26"/>
      <c r="E25" s="26"/>
      <c r="F25" s="25"/>
      <c r="G25" s="26"/>
      <c r="H25" s="10" t="s">
        <v>98</v>
      </c>
    </row>
    <row r="26" customFormat="false" ht="15" hidden="false" customHeight="false" outlineLevel="0" collapsed="false">
      <c r="A26" s="35" t="s">
        <v>99</v>
      </c>
      <c r="B26" s="36"/>
      <c r="C26" s="36"/>
      <c r="D26" s="36"/>
      <c r="E26" s="36"/>
      <c r="F26" s="36"/>
      <c r="G26" s="24"/>
      <c r="H26" s="35" t="s">
        <v>100</v>
      </c>
    </row>
    <row r="29" customFormat="false" ht="15" hidden="false" customHeight="false" outlineLevel="0" collapsed="false">
      <c r="A29" s="37" t="s">
        <v>101</v>
      </c>
      <c r="B29" s="24"/>
      <c r="C29" s="38" t="s">
        <v>102</v>
      </c>
      <c r="D29" s="38"/>
      <c r="E29" s="38"/>
    </row>
  </sheetData>
  <mergeCells count="2">
    <mergeCell ref="A1:H1"/>
    <mergeCell ref="C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" t="s">
        <v>103</v>
      </c>
      <c r="B1" s="1"/>
      <c r="C1" s="1"/>
      <c r="D1" s="1"/>
    </row>
    <row r="2" customFormat="false" ht="15" hidden="false" customHeight="false" outlineLevel="0" collapsed="false">
      <c r="A2" s="39" t="s">
        <v>104</v>
      </c>
      <c r="B2" s="39"/>
      <c r="C2" s="39"/>
      <c r="D2" s="39"/>
    </row>
    <row r="4" customFormat="false" ht="15" hidden="false" customHeight="false" outlineLevel="0" collapsed="false">
      <c r="A4" s="17" t="s">
        <v>105</v>
      </c>
      <c r="B4" s="17"/>
      <c r="C4" s="17"/>
      <c r="D4" s="17"/>
    </row>
    <row r="5" customFormat="false" ht="15" hidden="false" customHeight="false" outlineLevel="0" collapsed="false">
      <c r="A5" s="4" t="s">
        <v>106</v>
      </c>
      <c r="B5" s="40" t="n">
        <v>40</v>
      </c>
      <c r="C5" s="41" t="s">
        <v>107</v>
      </c>
    </row>
    <row r="6" customFormat="false" ht="15" hidden="false" customHeight="false" outlineLevel="0" collapsed="false">
      <c r="A6" s="4" t="s">
        <v>108</v>
      </c>
      <c r="B6" s="40" t="n">
        <v>22</v>
      </c>
      <c r="C6" s="41" t="s">
        <v>109</v>
      </c>
    </row>
    <row r="7" customFormat="false" ht="15" hidden="false" customHeight="false" outlineLevel="0" collapsed="false">
      <c r="A7" s="4" t="s">
        <v>110</v>
      </c>
      <c r="B7" s="42" t="n">
        <v>75</v>
      </c>
      <c r="C7" s="41" t="s">
        <v>111</v>
      </c>
    </row>
    <row r="8" customFormat="false" ht="15" hidden="false" customHeight="false" outlineLevel="0" collapsed="false">
      <c r="A8" s="4" t="s">
        <v>112</v>
      </c>
      <c r="B8" s="42" t="n">
        <v>235</v>
      </c>
      <c r="C8" s="41" t="s">
        <v>113</v>
      </c>
    </row>
    <row r="9" customFormat="false" ht="15" hidden="false" customHeight="false" outlineLevel="0" collapsed="false">
      <c r="A9" s="4" t="s">
        <v>114</v>
      </c>
      <c r="B9" s="40" t="n">
        <v>1</v>
      </c>
      <c r="C9" s="41" t="s">
        <v>115</v>
      </c>
    </row>
    <row r="10" customFormat="false" ht="15" hidden="false" customHeight="false" outlineLevel="0" collapsed="false">
      <c r="A10" s="4" t="s">
        <v>116</v>
      </c>
      <c r="B10" s="42" t="n">
        <v>8000</v>
      </c>
      <c r="C10" s="41" t="s">
        <v>117</v>
      </c>
    </row>
    <row r="13" customFormat="false" ht="15" hidden="false" customHeight="false" outlineLevel="0" collapsed="false">
      <c r="A13" s="17" t="s">
        <v>118</v>
      </c>
      <c r="B13" s="17"/>
      <c r="C13" s="17"/>
      <c r="D13" s="17"/>
    </row>
    <row r="14" customFormat="false" ht="15" hidden="false" customHeight="false" outlineLevel="0" collapsed="false">
      <c r="A14" s="4" t="s">
        <v>119</v>
      </c>
      <c r="B14" s="43" t="n">
        <f aca="false">B5*B6/60</f>
        <v>14.6666666666667</v>
      </c>
      <c r="C14" s="44" t="s">
        <v>120</v>
      </c>
    </row>
    <row r="15" customFormat="false" ht="15" hidden="false" customHeight="false" outlineLevel="0" collapsed="false">
      <c r="A15" s="8" t="s">
        <v>121</v>
      </c>
      <c r="B15" s="45" t="n">
        <f aca="false">B5*B6/60*B7</f>
        <v>1100</v>
      </c>
      <c r="C15" s="46" t="s">
        <v>122</v>
      </c>
    </row>
    <row r="16" customFormat="false" ht="15" hidden="false" customHeight="false" outlineLevel="0" collapsed="false">
      <c r="A16" s="4" t="s">
        <v>123</v>
      </c>
      <c r="B16" s="47" t="n">
        <f aca="false">B5*B6/60*B7*12</f>
        <v>13200</v>
      </c>
      <c r="C16" s="44" t="s">
        <v>122</v>
      </c>
    </row>
    <row r="17" customFormat="false" ht="15" hidden="false" customHeight="false" outlineLevel="0" collapsed="false">
      <c r="A17" s="8" t="s">
        <v>124</v>
      </c>
      <c r="B17" s="45" t="n">
        <f aca="false">B8*12</f>
        <v>2820</v>
      </c>
      <c r="C17" s="46" t="s">
        <v>122</v>
      </c>
    </row>
    <row r="18" customFormat="false" ht="15" hidden="false" customHeight="false" outlineLevel="0" collapsed="false">
      <c r="A18" s="4" t="s">
        <v>125</v>
      </c>
      <c r="B18" s="47" t="n">
        <f aca="false">B5*B6/60*B7*12-B8*12</f>
        <v>10380</v>
      </c>
      <c r="C18" s="44" t="s">
        <v>122</v>
      </c>
    </row>
    <row r="19" customFormat="false" ht="15" hidden="false" customHeight="false" outlineLevel="0" collapsed="false">
      <c r="A19" s="8" t="s">
        <v>126</v>
      </c>
      <c r="B19" s="45" t="n">
        <f aca="false">B9*B10</f>
        <v>8000</v>
      </c>
      <c r="C19" s="46" t="s">
        <v>122</v>
      </c>
    </row>
    <row r="20" customFormat="false" ht="15" hidden="false" customHeight="false" outlineLevel="0" collapsed="false">
      <c r="A20" s="4" t="s">
        <v>127</v>
      </c>
      <c r="B20" s="47" t="n">
        <f aca="false">B5*B6/60*B7*12-B8*12+B9*B10</f>
        <v>18380</v>
      </c>
      <c r="C20" s="44" t="s">
        <v>122</v>
      </c>
    </row>
    <row r="21" customFormat="false" ht="15" hidden="false" customHeight="false" outlineLevel="0" collapsed="false">
      <c r="A21" s="48" t="s">
        <v>128</v>
      </c>
      <c r="B21" s="49" t="n">
        <f aca="false">(B5*B6/60*B7*12-B8*12+B9*B10)/(B8*12)</f>
        <v>6.5177304964539</v>
      </c>
      <c r="C21" s="50" t="s">
        <v>129</v>
      </c>
    </row>
    <row r="24" customFormat="false" ht="31.5" hidden="false" customHeight="true" outlineLevel="0" collapsed="false">
      <c r="A24" s="51" t="s">
        <v>130</v>
      </c>
      <c r="B24" s="51"/>
      <c r="C24" s="51"/>
      <c r="D24" s="51"/>
    </row>
    <row r="26" customFormat="false" ht="15" hidden="false" customHeight="false" outlineLevel="0" collapsed="false">
      <c r="A26" s="37" t="s">
        <v>131</v>
      </c>
    </row>
    <row r="27" customFormat="false" ht="15" hidden="false" customHeight="false" outlineLevel="0" collapsed="false">
      <c r="A27" s="52" t="s">
        <v>132</v>
      </c>
    </row>
    <row r="28" customFormat="false" ht="15" hidden="false" customHeight="false" outlineLevel="0" collapsed="false">
      <c r="A28" s="37" t="s">
        <v>133</v>
      </c>
    </row>
  </sheetData>
  <mergeCells count="5">
    <mergeCell ref="A1:D1"/>
    <mergeCell ref="A2:D2"/>
    <mergeCell ref="A4:D4"/>
    <mergeCell ref="A13:D1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6" min="5" style="0" width="40"/>
  </cols>
  <sheetData>
    <row r="1" customFormat="false" ht="31.5" hidden="false" customHeight="true" outlineLevel="0" collapsed="false">
      <c r="A1" s="1" t="s">
        <v>134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53" t="s">
        <v>135</v>
      </c>
      <c r="B3" s="53" t="s">
        <v>5</v>
      </c>
      <c r="C3" s="53" t="s">
        <v>136</v>
      </c>
      <c r="D3" s="53" t="s">
        <v>137</v>
      </c>
      <c r="E3" s="53" t="s">
        <v>138</v>
      </c>
      <c r="F3" s="53" t="s">
        <v>139</v>
      </c>
    </row>
    <row r="4" customFormat="false" ht="23.85" hidden="false" customHeight="false" outlineLevel="0" collapsed="false">
      <c r="A4" s="54" t="s">
        <v>140</v>
      </c>
      <c r="B4" s="55" t="s">
        <v>141</v>
      </c>
      <c r="C4" s="55" t="s">
        <v>142</v>
      </c>
      <c r="D4" s="55" t="s">
        <v>143</v>
      </c>
      <c r="E4" s="55" t="s">
        <v>144</v>
      </c>
      <c r="F4" s="56" t="s">
        <v>145</v>
      </c>
    </row>
    <row r="5" customFormat="false" ht="23.85" hidden="false" customHeight="false" outlineLevel="0" collapsed="false">
      <c r="A5" s="57" t="s">
        <v>146</v>
      </c>
      <c r="B5" s="58" t="s">
        <v>147</v>
      </c>
      <c r="C5" s="58" t="s">
        <v>148</v>
      </c>
      <c r="D5" s="58" t="s">
        <v>149</v>
      </c>
      <c r="E5" s="58" t="s">
        <v>150</v>
      </c>
      <c r="F5" s="59" t="s">
        <v>151</v>
      </c>
    </row>
    <row r="6" customFormat="false" ht="15" hidden="false" customHeight="false" outlineLevel="0" collapsed="false">
      <c r="A6" s="54" t="s">
        <v>152</v>
      </c>
      <c r="B6" s="55" t="s">
        <v>153</v>
      </c>
      <c r="C6" s="55" t="s">
        <v>154</v>
      </c>
      <c r="D6" s="55" t="s">
        <v>155</v>
      </c>
      <c r="E6" s="55" t="s">
        <v>156</v>
      </c>
      <c r="F6" s="56" t="s">
        <v>157</v>
      </c>
    </row>
    <row r="7" customFormat="false" ht="15" hidden="false" customHeight="false" outlineLevel="0" collapsed="false">
      <c r="A7" s="57" t="s">
        <v>158</v>
      </c>
      <c r="B7" s="58" t="s">
        <v>159</v>
      </c>
      <c r="C7" s="58" t="s">
        <v>160</v>
      </c>
      <c r="D7" s="58" t="s">
        <v>15</v>
      </c>
      <c r="E7" s="58" t="s">
        <v>161</v>
      </c>
      <c r="F7" s="59" t="s">
        <v>162</v>
      </c>
    </row>
    <row r="8" customFormat="false" ht="15" hidden="false" customHeight="false" outlineLevel="0" collapsed="false">
      <c r="A8" s="54" t="s">
        <v>163</v>
      </c>
      <c r="B8" s="55" t="s">
        <v>159</v>
      </c>
      <c r="C8" s="55" t="s">
        <v>160</v>
      </c>
      <c r="D8" s="55" t="s">
        <v>15</v>
      </c>
      <c r="E8" s="55" t="s">
        <v>161</v>
      </c>
      <c r="F8" s="56" t="s">
        <v>164</v>
      </c>
    </row>
    <row r="9" customFormat="false" ht="15" hidden="false" customHeight="false" outlineLevel="0" collapsed="false">
      <c r="A9" s="57" t="s">
        <v>165</v>
      </c>
      <c r="B9" s="58" t="s">
        <v>159</v>
      </c>
      <c r="C9" s="58" t="s">
        <v>160</v>
      </c>
      <c r="D9" s="58" t="s">
        <v>15</v>
      </c>
      <c r="E9" s="58" t="s">
        <v>161</v>
      </c>
      <c r="F9" s="59" t="s">
        <v>166</v>
      </c>
    </row>
    <row r="10" customFormat="false" ht="23.85" hidden="false" customHeight="false" outlineLevel="0" collapsed="false">
      <c r="A10" s="54" t="s">
        <v>167</v>
      </c>
      <c r="B10" s="55" t="s">
        <v>18</v>
      </c>
      <c r="C10" s="55" t="s">
        <v>168</v>
      </c>
      <c r="D10" s="55" t="s">
        <v>15</v>
      </c>
      <c r="E10" s="55" t="s">
        <v>169</v>
      </c>
      <c r="F10" s="56" t="s">
        <v>170</v>
      </c>
    </row>
    <row r="11" customFormat="false" ht="23.85" hidden="false" customHeight="false" outlineLevel="0" collapsed="false">
      <c r="A11" s="57" t="s">
        <v>171</v>
      </c>
      <c r="B11" s="58" t="s">
        <v>18</v>
      </c>
      <c r="C11" s="58" t="s">
        <v>168</v>
      </c>
      <c r="D11" s="58" t="s">
        <v>15</v>
      </c>
      <c r="E11" s="58" t="s">
        <v>169</v>
      </c>
      <c r="F11" s="59" t="s">
        <v>172</v>
      </c>
    </row>
    <row r="12" customFormat="false" ht="23.85" hidden="false" customHeight="false" outlineLevel="0" collapsed="false">
      <c r="A12" s="54" t="s">
        <v>173</v>
      </c>
      <c r="B12" s="55" t="s">
        <v>18</v>
      </c>
      <c r="C12" s="55" t="s">
        <v>168</v>
      </c>
      <c r="D12" s="55" t="s">
        <v>15</v>
      </c>
      <c r="E12" s="55" t="s">
        <v>169</v>
      </c>
      <c r="F12" s="56" t="s">
        <v>174</v>
      </c>
    </row>
    <row r="13" customFormat="false" ht="15" hidden="false" customHeight="false" outlineLevel="0" collapsed="false">
      <c r="A13" s="57" t="s">
        <v>175</v>
      </c>
      <c r="B13" s="58" t="s">
        <v>176</v>
      </c>
      <c r="C13" s="58" t="s">
        <v>61</v>
      </c>
      <c r="D13" s="58" t="s">
        <v>177</v>
      </c>
      <c r="E13" s="58" t="s">
        <v>178</v>
      </c>
      <c r="F13" s="59" t="s">
        <v>179</v>
      </c>
    </row>
    <row r="14" customFormat="false" ht="23.85" hidden="false" customHeight="false" outlineLevel="0" collapsed="false">
      <c r="A14" s="60" t="s">
        <v>180</v>
      </c>
      <c r="B14" s="61" t="s">
        <v>176</v>
      </c>
      <c r="C14" s="61" t="s">
        <v>61</v>
      </c>
      <c r="D14" s="61" t="s">
        <v>181</v>
      </c>
      <c r="E14" s="61" t="s">
        <v>182</v>
      </c>
      <c r="F14" s="62" t="s">
        <v>183</v>
      </c>
    </row>
    <row r="15" customFormat="false" ht="23.85" hidden="false" customHeight="false" outlineLevel="0" collapsed="false">
      <c r="A15" s="63" t="s">
        <v>184</v>
      </c>
      <c r="B15" s="64" t="s">
        <v>185</v>
      </c>
      <c r="C15" s="64" t="s">
        <v>186</v>
      </c>
      <c r="D15" s="64" t="s">
        <v>187</v>
      </c>
      <c r="E15" s="64" t="s">
        <v>188</v>
      </c>
      <c r="F15" s="65" t="s">
        <v>189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2026-05-06T16:13:33Z</dcterms:created>
  <dc:creator>openpyxl</dc:creator>
  <dc:description/>
  <dc:language>en-US</dc:language>
  <cp:lastModifiedBy/>
  <dcterms:modified xsi:type="dcterms:W3CDTF">2026-05-06T16:13:33Z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